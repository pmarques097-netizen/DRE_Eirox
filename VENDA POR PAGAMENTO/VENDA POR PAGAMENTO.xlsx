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\Desktop\Dre\VENDA POR PAGAMENTO\"/>
    </mc:Choice>
  </mc:AlternateContent>
  <xr:revisionPtr revIDLastSave="0" documentId="13_ncr:1_{D12BE232-97D1-4A04-A818-A5BBB719AFE7}" xr6:coauthVersionLast="47" xr6:coauthVersionMax="47" xr10:uidLastSave="{00000000-0000-0000-0000-000000000000}"/>
  <bookViews>
    <workbookView xWindow="-108" yWindow="-108" windowWidth="23256" windowHeight="12456" xr2:uid="{256E494A-92E1-4818-8C67-991F5C0E7CA9}"/>
  </bookViews>
  <sheets>
    <sheet name="VENDA POR PAGAMENTO" sheetId="1" r:id="rId1"/>
  </sheets>
  <definedNames>
    <definedName name="_xlnm._FilterDatabase" localSheetId="0" hidden="1">'VENDA POR PAGAMENTO'!$A$1:$J$2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2" i="1"/>
</calcChain>
</file>

<file path=xl/sharedStrings.xml><?xml version="1.0" encoding="utf-8"?>
<sst xmlns="http://schemas.openxmlformats.org/spreadsheetml/2006/main" count="307" uniqueCount="29">
  <si>
    <t>unidade</t>
  </si>
  <si>
    <t>Un. Neg.</t>
  </si>
  <si>
    <t>Ano-mês</t>
  </si>
  <si>
    <t>Forma de Pagamento</t>
  </si>
  <si>
    <t>Valor</t>
  </si>
  <si>
    <t>Troco</t>
  </si>
  <si>
    <t>Total</t>
  </si>
  <si>
    <t>% Tot.</t>
  </si>
  <si>
    <t>Qtd. Pagamentos</t>
  </si>
  <si>
    <t>Valor Médio</t>
  </si>
  <si>
    <t>2026-01</t>
  </si>
  <si>
    <t>Cartao</t>
  </si>
  <si>
    <t>Cheque</t>
  </si>
  <si>
    <t>Clube Economize</t>
  </si>
  <si>
    <t>Crediario</t>
  </si>
  <si>
    <t>Dinheiro</t>
  </si>
  <si>
    <t>PBM</t>
  </si>
  <si>
    <t>Vale-Compra</t>
  </si>
  <si>
    <t>2026-02</t>
  </si>
  <si>
    <t>2026-03</t>
  </si>
  <si>
    <t>2026-04</t>
  </si>
  <si>
    <t>LINK</t>
  </si>
  <si>
    <t>2026-05</t>
  </si>
  <si>
    <t>2026-06</t>
  </si>
  <si>
    <t>MyPharma Cartao</t>
  </si>
  <si>
    <t>NAPP</t>
  </si>
  <si>
    <t>01</t>
  </si>
  <si>
    <t>2026-07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</si>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</sst>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indexed="8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1" fillId="0" borderId="0" xfId="0" applyNumberFormat="1" applyFont="1"/>
    <xf numFmtId="0" fontId="2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9F85-4CA7-4ABF-9034-E58B70AE13CD}">
  <dimension ref="A1:J100"/>
  <sheetViews>
    <sheetView tabSelected="1" workbookViewId="0"/>
  </sheetViews>
  <sheetFormatPr defaultRowHeight="14.4" x14ac:dyDescent="0.3"/>
  <cols>
    <col min="1" max="1" width="9.6640625" style="2" bestFit="1" customWidth="1"/>
    <col min="2" max="2" width="10.33203125" bestFit="1" customWidth="1"/>
    <col min="3" max="3" width="10.44140625" style="1" bestFit="1" customWidth="1"/>
    <col min="4" max="4" width="18.5546875" bestFit="1" customWidth="1"/>
    <col min="5" max="5" width="10" bestFit="1" customWidth="1"/>
    <col min="9" max="9" width="15.109375" bestFit="1" customWidth="1"/>
    <col min="10" max="10" width="11" bestFit="1" customWidth="1"/>
  </cols>
  <sheetData>
    <row r="1" spans="1:10" x14ac:dyDescent="0.3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2" t="str">
        <f>RIGHT(C2,1)</f>
        <v>1</v>
      </c>
      <c r="B2" s="3" t="s">
        <v>26</v>
      </c>
      <c r="C2" s="3" t="s">
        <v>10</v>
      </c>
      <c r="D2" s="3" t="s">
        <v>11</v>
      </c>
      <c r="E2" s="4">
        <v>199386.31</v>
      </c>
      <c r="F2" s="4">
        <v>0</v>
      </c>
      <c r="G2" s="4">
        <v>199386.31</v>
      </c>
      <c r="H2" s="4">
        <v>2.66</v>
      </c>
      <c r="I2" s="4">
        <v>1877</v>
      </c>
      <c r="J2" s="5">
        <v>106.23</v>
      </c>
    </row>
    <row r="3" spans="1:10" x14ac:dyDescent="0.3">
      <c r="A3" s="2" t="str">
        <f t="shared" ref="A3:A66" si="0">RIGHT(C3,1)</f>
        <v>1</v>
      </c>
      <c r="B3" s="3" t="s">
        <v>26</v>
      </c>
      <c r="C3" s="3" t="s">
        <v>10</v>
      </c>
      <c r="D3" s="3" t="s">
        <v>12</v>
      </c>
      <c r="E3" s="4">
        <v>620</v>
      </c>
      <c r="F3" s="4">
        <v>0</v>
      </c>
      <c r="G3" s="4">
        <v>620</v>
      </c>
      <c r="H3" s="4">
        <v>0.01</v>
      </c>
      <c r="I3" s="4">
        <v>1</v>
      </c>
      <c r="J3" s="5">
        <v>620</v>
      </c>
    </row>
    <row r="4" spans="1:10" x14ac:dyDescent="0.3">
      <c r="A4" s="2" t="str">
        <f t="shared" si="0"/>
        <v>1</v>
      </c>
      <c r="B4" s="3" t="s">
        <v>26</v>
      </c>
      <c r="C4" s="3" t="s">
        <v>10</v>
      </c>
      <c r="D4" s="3" t="s">
        <v>13</v>
      </c>
      <c r="E4" s="4">
        <v>2421</v>
      </c>
      <c r="F4" s="4">
        <v>0</v>
      </c>
      <c r="G4" s="4">
        <v>2421</v>
      </c>
      <c r="H4" s="4">
        <v>0.03</v>
      </c>
      <c r="I4" s="4">
        <v>278</v>
      </c>
      <c r="J4" s="5">
        <v>8.7100000000000009</v>
      </c>
    </row>
    <row r="5" spans="1:10" x14ac:dyDescent="0.3">
      <c r="A5" s="2" t="str">
        <f t="shared" si="0"/>
        <v>1</v>
      </c>
      <c r="B5" s="3" t="s">
        <v>26</v>
      </c>
      <c r="C5" s="3" t="s">
        <v>10</v>
      </c>
      <c r="D5" s="3" t="s">
        <v>14</v>
      </c>
      <c r="E5" s="4">
        <v>13742.98</v>
      </c>
      <c r="F5" s="4">
        <v>0</v>
      </c>
      <c r="G5" s="4">
        <v>13742.98</v>
      </c>
      <c r="H5" s="4">
        <v>0.18</v>
      </c>
      <c r="I5" s="4">
        <v>72</v>
      </c>
      <c r="J5" s="5">
        <v>190.87</v>
      </c>
    </row>
    <row r="6" spans="1:10" x14ac:dyDescent="0.3">
      <c r="A6" s="2" t="str">
        <f t="shared" si="0"/>
        <v>1</v>
      </c>
      <c r="B6" s="3" t="s">
        <v>26</v>
      </c>
      <c r="C6" s="3" t="s">
        <v>10</v>
      </c>
      <c r="D6" s="3" t="s">
        <v>15</v>
      </c>
      <c r="E6" s="4">
        <v>19449.830000000002</v>
      </c>
      <c r="F6" s="4">
        <v>2975.43</v>
      </c>
      <c r="G6" s="4">
        <v>16474.400000000001</v>
      </c>
      <c r="H6" s="4">
        <v>0.22</v>
      </c>
      <c r="I6" s="4">
        <v>288</v>
      </c>
      <c r="J6" s="5">
        <v>57.2</v>
      </c>
    </row>
    <row r="7" spans="1:10" x14ac:dyDescent="0.3">
      <c r="A7" s="2" t="str">
        <f t="shared" si="0"/>
        <v>1</v>
      </c>
      <c r="B7" s="3" t="s">
        <v>26</v>
      </c>
      <c r="C7" s="3" t="s">
        <v>10</v>
      </c>
      <c r="D7" s="3" t="s">
        <v>16</v>
      </c>
      <c r="E7" s="4">
        <v>1012.82</v>
      </c>
      <c r="F7" s="4">
        <v>0</v>
      </c>
      <c r="G7" s="4">
        <v>1012.82</v>
      </c>
      <c r="H7" s="4">
        <v>0.01</v>
      </c>
      <c r="I7" s="4">
        <v>7</v>
      </c>
      <c r="J7" s="5">
        <v>144.69</v>
      </c>
    </row>
    <row r="8" spans="1:10" x14ac:dyDescent="0.3">
      <c r="A8" s="2" t="str">
        <f t="shared" si="0"/>
        <v>1</v>
      </c>
      <c r="B8" s="3" t="s">
        <v>26</v>
      </c>
      <c r="C8" s="3" t="s">
        <v>10</v>
      </c>
      <c r="D8" s="3" t="s">
        <v>17</v>
      </c>
      <c r="E8" s="4">
        <v>440.05</v>
      </c>
      <c r="F8" s="4">
        <v>0</v>
      </c>
      <c r="G8" s="4">
        <v>440.05</v>
      </c>
      <c r="H8" s="4">
        <v>0.01</v>
      </c>
      <c r="I8" s="4">
        <v>6</v>
      </c>
      <c r="J8" s="5">
        <v>73.34</v>
      </c>
    </row>
    <row r="9" spans="1:10" x14ac:dyDescent="0.3">
      <c r="A9" s="2" t="str">
        <f t="shared" si="0"/>
        <v>2</v>
      </c>
      <c r="B9" s="3" t="s">
        <v>26</v>
      </c>
      <c r="C9" s="3" t="s">
        <v>18</v>
      </c>
      <c r="D9" s="3" t="s">
        <v>11</v>
      </c>
      <c r="E9" s="4">
        <v>189282.24</v>
      </c>
      <c r="F9" s="4">
        <v>0</v>
      </c>
      <c r="G9" s="4">
        <v>189282.24</v>
      </c>
      <c r="H9" s="4">
        <v>2.52</v>
      </c>
      <c r="I9" s="4">
        <v>1861</v>
      </c>
      <c r="J9" s="5">
        <v>101.71</v>
      </c>
    </row>
    <row r="10" spans="1:10" x14ac:dyDescent="0.3">
      <c r="A10" s="2" t="str">
        <f t="shared" si="0"/>
        <v>2</v>
      </c>
      <c r="B10" s="3" t="s">
        <v>26</v>
      </c>
      <c r="C10" s="3" t="s">
        <v>18</v>
      </c>
      <c r="D10" s="3" t="s">
        <v>13</v>
      </c>
      <c r="E10" s="4">
        <v>1675.29</v>
      </c>
      <c r="F10" s="4">
        <v>0</v>
      </c>
      <c r="G10" s="4">
        <v>1675.29</v>
      </c>
      <c r="H10" s="4">
        <v>0.02</v>
      </c>
      <c r="I10" s="4">
        <v>227</v>
      </c>
      <c r="J10" s="5">
        <v>7.38</v>
      </c>
    </row>
    <row r="11" spans="1:10" x14ac:dyDescent="0.3">
      <c r="A11" s="2" t="str">
        <f t="shared" si="0"/>
        <v>2</v>
      </c>
      <c r="B11" s="3" t="s">
        <v>26</v>
      </c>
      <c r="C11" s="3" t="s">
        <v>18</v>
      </c>
      <c r="D11" s="3" t="s">
        <v>14</v>
      </c>
      <c r="E11" s="4">
        <v>16272.23</v>
      </c>
      <c r="F11" s="4">
        <v>0</v>
      </c>
      <c r="G11" s="4">
        <v>16272.23</v>
      </c>
      <c r="H11" s="4">
        <v>0.22</v>
      </c>
      <c r="I11" s="4">
        <v>90</v>
      </c>
      <c r="J11" s="5">
        <v>180.8</v>
      </c>
    </row>
    <row r="12" spans="1:10" x14ac:dyDescent="0.3">
      <c r="A12" s="2" t="str">
        <f t="shared" si="0"/>
        <v>2</v>
      </c>
      <c r="B12" s="3" t="s">
        <v>26</v>
      </c>
      <c r="C12" s="3" t="s">
        <v>18</v>
      </c>
      <c r="D12" s="3" t="s">
        <v>15</v>
      </c>
      <c r="E12" s="4">
        <v>26107.54</v>
      </c>
      <c r="F12" s="4">
        <v>3999.39</v>
      </c>
      <c r="G12" s="4">
        <v>22108.15</v>
      </c>
      <c r="H12" s="4">
        <v>0.28999999999999998</v>
      </c>
      <c r="I12" s="4">
        <v>327</v>
      </c>
      <c r="J12" s="5">
        <v>67.61</v>
      </c>
    </row>
    <row r="13" spans="1:10" x14ac:dyDescent="0.3">
      <c r="A13" s="2" t="str">
        <f t="shared" si="0"/>
        <v>2</v>
      </c>
      <c r="B13" s="3" t="s">
        <v>26</v>
      </c>
      <c r="C13" s="3" t="s">
        <v>18</v>
      </c>
      <c r="D13" s="3" t="s">
        <v>16</v>
      </c>
      <c r="E13" s="4">
        <v>1419.26</v>
      </c>
      <c r="F13" s="4">
        <v>0</v>
      </c>
      <c r="G13" s="4">
        <v>1419.26</v>
      </c>
      <c r="H13" s="4">
        <v>0.02</v>
      </c>
      <c r="I13" s="4">
        <v>11</v>
      </c>
      <c r="J13" s="5">
        <v>129.02000000000001</v>
      </c>
    </row>
    <row r="14" spans="1:10" x14ac:dyDescent="0.3">
      <c r="A14" s="2" t="str">
        <f t="shared" si="0"/>
        <v>2</v>
      </c>
      <c r="B14" s="3" t="s">
        <v>26</v>
      </c>
      <c r="C14" s="3" t="s">
        <v>18</v>
      </c>
      <c r="D14" s="3" t="s">
        <v>17</v>
      </c>
      <c r="E14" s="4">
        <v>334.82</v>
      </c>
      <c r="F14" s="4">
        <v>0</v>
      </c>
      <c r="G14" s="4">
        <v>334.82</v>
      </c>
      <c r="H14" s="4">
        <v>0</v>
      </c>
      <c r="I14" s="4">
        <v>5</v>
      </c>
      <c r="J14" s="5">
        <v>66.959999999999994</v>
      </c>
    </row>
    <row r="15" spans="1:10" x14ac:dyDescent="0.3">
      <c r="A15" s="2" t="str">
        <f t="shared" si="0"/>
        <v>3</v>
      </c>
      <c r="B15" s="3" t="s">
        <v>26</v>
      </c>
      <c r="C15" s="3" t="s">
        <v>19</v>
      </c>
      <c r="D15" s="3" t="s">
        <v>11</v>
      </c>
      <c r="E15" s="4">
        <v>286662.7</v>
      </c>
      <c r="F15" s="4">
        <v>0</v>
      </c>
      <c r="G15" s="4">
        <v>286662.7</v>
      </c>
      <c r="H15" s="4">
        <v>3.82</v>
      </c>
      <c r="I15" s="4">
        <v>3026</v>
      </c>
      <c r="J15" s="5">
        <v>94.73</v>
      </c>
    </row>
    <row r="16" spans="1:10" x14ac:dyDescent="0.3">
      <c r="A16" s="2" t="str">
        <f t="shared" si="0"/>
        <v>3</v>
      </c>
      <c r="B16" s="3" t="s">
        <v>26</v>
      </c>
      <c r="C16" s="3" t="s">
        <v>19</v>
      </c>
      <c r="D16" s="3" t="s">
        <v>12</v>
      </c>
      <c r="E16" s="4">
        <v>430</v>
      </c>
      <c r="F16" s="4">
        <v>0</v>
      </c>
      <c r="G16" s="4">
        <v>430</v>
      </c>
      <c r="H16" s="4">
        <v>0.01</v>
      </c>
      <c r="I16" s="4">
        <v>1</v>
      </c>
      <c r="J16" s="5">
        <v>430</v>
      </c>
    </row>
    <row r="17" spans="1:10" x14ac:dyDescent="0.3">
      <c r="A17" s="2" t="str">
        <f t="shared" si="0"/>
        <v>3</v>
      </c>
      <c r="B17" s="3" t="s">
        <v>26</v>
      </c>
      <c r="C17" s="3" t="s">
        <v>19</v>
      </c>
      <c r="D17" s="3" t="s">
        <v>13</v>
      </c>
      <c r="E17" s="4">
        <v>2658.76</v>
      </c>
      <c r="F17" s="4">
        <v>0</v>
      </c>
      <c r="G17" s="4">
        <v>2658.76</v>
      </c>
      <c r="H17" s="4">
        <v>0.04</v>
      </c>
      <c r="I17" s="4">
        <v>362</v>
      </c>
      <c r="J17" s="5">
        <v>7.34</v>
      </c>
    </row>
    <row r="18" spans="1:10" x14ac:dyDescent="0.3">
      <c r="A18" s="2" t="str">
        <f t="shared" si="0"/>
        <v>3</v>
      </c>
      <c r="B18" s="3" t="s">
        <v>26</v>
      </c>
      <c r="C18" s="3" t="s">
        <v>19</v>
      </c>
      <c r="D18" s="3" t="s">
        <v>14</v>
      </c>
      <c r="E18" s="4">
        <v>22079.39</v>
      </c>
      <c r="F18" s="4">
        <v>0</v>
      </c>
      <c r="G18" s="4">
        <v>22079.39</v>
      </c>
      <c r="H18" s="4">
        <v>0.28999999999999998</v>
      </c>
      <c r="I18" s="4">
        <v>152</v>
      </c>
      <c r="J18" s="5">
        <v>145.26</v>
      </c>
    </row>
    <row r="19" spans="1:10" x14ac:dyDescent="0.3">
      <c r="A19" s="2" t="str">
        <f t="shared" si="0"/>
        <v>3</v>
      </c>
      <c r="B19" s="3" t="s">
        <v>26</v>
      </c>
      <c r="C19" s="3" t="s">
        <v>19</v>
      </c>
      <c r="D19" s="3" t="s">
        <v>15</v>
      </c>
      <c r="E19" s="4">
        <v>32148.48</v>
      </c>
      <c r="F19" s="4">
        <v>5715.76</v>
      </c>
      <c r="G19" s="4">
        <v>26432.720000000001</v>
      </c>
      <c r="H19" s="4">
        <v>0.35</v>
      </c>
      <c r="I19" s="4">
        <v>455</v>
      </c>
      <c r="J19" s="5">
        <v>58.09</v>
      </c>
    </row>
    <row r="20" spans="1:10" x14ac:dyDescent="0.3">
      <c r="A20" s="2" t="str">
        <f t="shared" si="0"/>
        <v>3</v>
      </c>
      <c r="B20" s="3" t="s">
        <v>26</v>
      </c>
      <c r="C20" s="3" t="s">
        <v>19</v>
      </c>
      <c r="D20" s="3" t="s">
        <v>16</v>
      </c>
      <c r="E20" s="4">
        <v>1795.51</v>
      </c>
      <c r="F20" s="4">
        <v>0</v>
      </c>
      <c r="G20" s="4">
        <v>1795.51</v>
      </c>
      <c r="H20" s="4">
        <v>0.02</v>
      </c>
      <c r="I20" s="4">
        <v>14</v>
      </c>
      <c r="J20" s="5">
        <v>128.25</v>
      </c>
    </row>
    <row r="21" spans="1:10" x14ac:dyDescent="0.3">
      <c r="A21" s="2" t="str">
        <f t="shared" si="0"/>
        <v>3</v>
      </c>
      <c r="B21" s="3" t="s">
        <v>26</v>
      </c>
      <c r="C21" s="3" t="s">
        <v>19</v>
      </c>
      <c r="D21" s="3" t="s">
        <v>17</v>
      </c>
      <c r="E21" s="4">
        <v>944.04</v>
      </c>
      <c r="F21" s="4">
        <v>0</v>
      </c>
      <c r="G21" s="4">
        <v>944.04</v>
      </c>
      <c r="H21" s="4">
        <v>0.01</v>
      </c>
      <c r="I21" s="4">
        <v>16</v>
      </c>
      <c r="J21" s="5">
        <v>59</v>
      </c>
    </row>
    <row r="22" spans="1:10" x14ac:dyDescent="0.3">
      <c r="A22" s="2" t="str">
        <f t="shared" si="0"/>
        <v>4</v>
      </c>
      <c r="B22" s="3" t="s">
        <v>26</v>
      </c>
      <c r="C22" s="3" t="s">
        <v>20</v>
      </c>
      <c r="D22" s="3" t="s">
        <v>11</v>
      </c>
      <c r="E22" s="4">
        <v>345353.74</v>
      </c>
      <c r="F22" s="4">
        <v>0</v>
      </c>
      <c r="G22" s="4">
        <v>345353.74</v>
      </c>
      <c r="H22" s="4">
        <v>4.5999999999999996</v>
      </c>
      <c r="I22" s="4">
        <v>3829</v>
      </c>
      <c r="J22" s="5">
        <v>90.19</v>
      </c>
    </row>
    <row r="23" spans="1:10" x14ac:dyDescent="0.3">
      <c r="A23" s="2" t="str">
        <f t="shared" si="0"/>
        <v>4</v>
      </c>
      <c r="B23" s="3" t="s">
        <v>26</v>
      </c>
      <c r="C23" s="3" t="s">
        <v>20</v>
      </c>
      <c r="D23" s="3" t="s">
        <v>12</v>
      </c>
      <c r="E23" s="4">
        <v>598</v>
      </c>
      <c r="F23" s="4">
        <v>0</v>
      </c>
      <c r="G23" s="4">
        <v>598</v>
      </c>
      <c r="H23" s="4">
        <v>0.01</v>
      </c>
      <c r="I23" s="4">
        <v>1</v>
      </c>
      <c r="J23" s="5">
        <v>598</v>
      </c>
    </row>
    <row r="24" spans="1:10" x14ac:dyDescent="0.3">
      <c r="A24" s="2" t="str">
        <f t="shared" si="0"/>
        <v>4</v>
      </c>
      <c r="B24" s="3" t="s">
        <v>26</v>
      </c>
      <c r="C24" s="3" t="s">
        <v>20</v>
      </c>
      <c r="D24" s="3" t="s">
        <v>13</v>
      </c>
      <c r="E24" s="4">
        <v>2739.99</v>
      </c>
      <c r="F24" s="4">
        <v>0</v>
      </c>
      <c r="G24" s="4">
        <v>2739.99</v>
      </c>
      <c r="H24" s="4">
        <v>0.04</v>
      </c>
      <c r="I24" s="4">
        <v>387</v>
      </c>
      <c r="J24" s="5">
        <v>7.08</v>
      </c>
    </row>
    <row r="25" spans="1:10" x14ac:dyDescent="0.3">
      <c r="A25" s="2" t="str">
        <f t="shared" si="0"/>
        <v>4</v>
      </c>
      <c r="B25" s="3" t="s">
        <v>26</v>
      </c>
      <c r="C25" s="3" t="s">
        <v>20</v>
      </c>
      <c r="D25" s="3" t="s">
        <v>14</v>
      </c>
      <c r="E25" s="4">
        <v>36685.96</v>
      </c>
      <c r="F25" s="4">
        <v>0</v>
      </c>
      <c r="G25" s="4">
        <v>36685.96</v>
      </c>
      <c r="H25" s="4">
        <v>0.49</v>
      </c>
      <c r="I25" s="4">
        <v>211</v>
      </c>
      <c r="J25" s="5">
        <v>173.87</v>
      </c>
    </row>
    <row r="26" spans="1:10" x14ac:dyDescent="0.3">
      <c r="A26" s="2" t="str">
        <f t="shared" si="0"/>
        <v>4</v>
      </c>
      <c r="B26" s="3" t="s">
        <v>26</v>
      </c>
      <c r="C26" s="3" t="s">
        <v>20</v>
      </c>
      <c r="D26" s="3" t="s">
        <v>15</v>
      </c>
      <c r="E26" s="4">
        <v>40081.129999999997</v>
      </c>
      <c r="F26" s="4">
        <v>6436.71</v>
      </c>
      <c r="G26" s="4">
        <v>33644.42</v>
      </c>
      <c r="H26" s="4">
        <v>0.45</v>
      </c>
      <c r="I26" s="4">
        <v>533</v>
      </c>
      <c r="J26" s="5">
        <v>63.12</v>
      </c>
    </row>
    <row r="27" spans="1:10" x14ac:dyDescent="0.3">
      <c r="A27" s="2" t="str">
        <f t="shared" si="0"/>
        <v>4</v>
      </c>
      <c r="B27" s="3" t="s">
        <v>26</v>
      </c>
      <c r="C27" s="3" t="s">
        <v>20</v>
      </c>
      <c r="D27" s="3" t="s">
        <v>21</v>
      </c>
      <c r="E27" s="4">
        <v>364.52</v>
      </c>
      <c r="F27" s="4">
        <v>0</v>
      </c>
      <c r="G27" s="4">
        <v>364.52</v>
      </c>
      <c r="H27" s="4">
        <v>0</v>
      </c>
      <c r="I27" s="4">
        <v>4</v>
      </c>
      <c r="J27" s="5">
        <v>91.13</v>
      </c>
    </row>
    <row r="28" spans="1:10" x14ac:dyDescent="0.3">
      <c r="A28" s="2" t="str">
        <f t="shared" si="0"/>
        <v>4</v>
      </c>
      <c r="B28" s="3" t="s">
        <v>26</v>
      </c>
      <c r="C28" s="3" t="s">
        <v>20</v>
      </c>
      <c r="D28" s="3" t="s">
        <v>16</v>
      </c>
      <c r="E28" s="4">
        <v>2684.42</v>
      </c>
      <c r="F28" s="4">
        <v>0</v>
      </c>
      <c r="G28" s="4">
        <v>2684.42</v>
      </c>
      <c r="H28" s="4">
        <v>0.04</v>
      </c>
      <c r="I28" s="4">
        <v>18</v>
      </c>
      <c r="J28" s="5">
        <v>149.13</v>
      </c>
    </row>
    <row r="29" spans="1:10" x14ac:dyDescent="0.3">
      <c r="A29" s="2" t="str">
        <f t="shared" si="0"/>
        <v>4</v>
      </c>
      <c r="B29" s="3" t="s">
        <v>26</v>
      </c>
      <c r="C29" s="3" t="s">
        <v>20</v>
      </c>
      <c r="D29" s="3" t="s">
        <v>17</v>
      </c>
      <c r="E29" s="4">
        <v>1087.73</v>
      </c>
      <c r="F29" s="4">
        <v>0</v>
      </c>
      <c r="G29" s="4">
        <v>1087.73</v>
      </c>
      <c r="H29" s="4">
        <v>0.01</v>
      </c>
      <c r="I29" s="4">
        <v>20</v>
      </c>
      <c r="J29" s="5">
        <v>54.39</v>
      </c>
    </row>
    <row r="30" spans="1:10" x14ac:dyDescent="0.3">
      <c r="A30" s="2" t="str">
        <f t="shared" si="0"/>
        <v>5</v>
      </c>
      <c r="B30" s="3" t="s">
        <v>26</v>
      </c>
      <c r="C30" s="3" t="s">
        <v>22</v>
      </c>
      <c r="D30" s="3" t="s">
        <v>11</v>
      </c>
      <c r="E30" s="4">
        <v>388262.98</v>
      </c>
      <c r="F30" s="4">
        <v>0</v>
      </c>
      <c r="G30" s="4">
        <v>388262.98</v>
      </c>
      <c r="H30" s="4">
        <v>5.17</v>
      </c>
      <c r="I30" s="4">
        <v>4298</v>
      </c>
      <c r="J30" s="5">
        <v>90.34</v>
      </c>
    </row>
    <row r="31" spans="1:10" x14ac:dyDescent="0.3">
      <c r="A31" s="2" t="str">
        <f t="shared" si="0"/>
        <v>5</v>
      </c>
      <c r="B31" s="3" t="s">
        <v>26</v>
      </c>
      <c r="C31" s="3" t="s">
        <v>22</v>
      </c>
      <c r="D31" s="3" t="s">
        <v>13</v>
      </c>
      <c r="E31" s="4">
        <v>3368.15</v>
      </c>
      <c r="F31" s="4">
        <v>0</v>
      </c>
      <c r="G31" s="4">
        <v>3368.15</v>
      </c>
      <c r="H31" s="4">
        <v>0.04</v>
      </c>
      <c r="I31" s="4">
        <v>433</v>
      </c>
      <c r="J31" s="5">
        <v>7.78</v>
      </c>
    </row>
    <row r="32" spans="1:10" x14ac:dyDescent="0.3">
      <c r="A32" s="2" t="str">
        <f t="shared" si="0"/>
        <v>5</v>
      </c>
      <c r="B32" s="3" t="s">
        <v>26</v>
      </c>
      <c r="C32" s="3" t="s">
        <v>22</v>
      </c>
      <c r="D32" s="3" t="s">
        <v>14</v>
      </c>
      <c r="E32" s="4">
        <v>33653.75</v>
      </c>
      <c r="F32" s="4">
        <v>0</v>
      </c>
      <c r="G32" s="4">
        <v>33653.75</v>
      </c>
      <c r="H32" s="4">
        <v>0.45</v>
      </c>
      <c r="I32" s="4">
        <v>215</v>
      </c>
      <c r="J32" s="5">
        <v>156.53</v>
      </c>
    </row>
    <row r="33" spans="1:10" x14ac:dyDescent="0.3">
      <c r="A33" s="2" t="str">
        <f t="shared" si="0"/>
        <v>5</v>
      </c>
      <c r="B33" s="3" t="s">
        <v>26</v>
      </c>
      <c r="C33" s="3" t="s">
        <v>22</v>
      </c>
      <c r="D33" s="3" t="s">
        <v>15</v>
      </c>
      <c r="E33" s="4">
        <v>49785.5</v>
      </c>
      <c r="F33" s="4">
        <v>8065.4</v>
      </c>
      <c r="G33" s="4">
        <v>41720.1</v>
      </c>
      <c r="H33" s="4">
        <v>0.56000000000000005</v>
      </c>
      <c r="I33" s="4">
        <v>604</v>
      </c>
      <c r="J33" s="5">
        <v>69.069999999999993</v>
      </c>
    </row>
    <row r="34" spans="1:10" x14ac:dyDescent="0.3">
      <c r="A34" s="2" t="str">
        <f t="shared" si="0"/>
        <v>5</v>
      </c>
      <c r="B34" s="3" t="s">
        <v>26</v>
      </c>
      <c r="C34" s="3" t="s">
        <v>22</v>
      </c>
      <c r="D34" s="3" t="s">
        <v>21</v>
      </c>
      <c r="E34" s="4">
        <v>331.39</v>
      </c>
      <c r="F34" s="4">
        <v>0</v>
      </c>
      <c r="G34" s="4">
        <v>331.39</v>
      </c>
      <c r="H34" s="4">
        <v>0</v>
      </c>
      <c r="I34" s="4">
        <v>1</v>
      </c>
      <c r="J34" s="5">
        <v>331.39</v>
      </c>
    </row>
    <row r="35" spans="1:10" x14ac:dyDescent="0.3">
      <c r="A35" s="2" t="str">
        <f t="shared" si="0"/>
        <v>5</v>
      </c>
      <c r="B35" s="3" t="s">
        <v>26</v>
      </c>
      <c r="C35" s="3" t="s">
        <v>22</v>
      </c>
      <c r="D35" s="3" t="s">
        <v>16</v>
      </c>
      <c r="E35" s="4">
        <v>4133.7</v>
      </c>
      <c r="F35" s="4">
        <v>0</v>
      </c>
      <c r="G35" s="4">
        <v>4133.7</v>
      </c>
      <c r="H35" s="4">
        <v>0.06</v>
      </c>
      <c r="I35" s="4">
        <v>28</v>
      </c>
      <c r="J35" s="5">
        <v>147.63</v>
      </c>
    </row>
    <row r="36" spans="1:10" x14ac:dyDescent="0.3">
      <c r="A36" s="2" t="str">
        <f t="shared" si="0"/>
        <v>5</v>
      </c>
      <c r="B36" s="3" t="s">
        <v>26</v>
      </c>
      <c r="C36" s="3" t="s">
        <v>22</v>
      </c>
      <c r="D36" s="3" t="s">
        <v>17</v>
      </c>
      <c r="E36" s="4">
        <v>1766.32</v>
      </c>
      <c r="F36" s="4">
        <v>0</v>
      </c>
      <c r="G36" s="4">
        <v>1766.32</v>
      </c>
      <c r="H36" s="4">
        <v>0.02</v>
      </c>
      <c r="I36" s="4">
        <v>32</v>
      </c>
      <c r="J36" s="5">
        <v>55.2</v>
      </c>
    </row>
    <row r="37" spans="1:10" x14ac:dyDescent="0.3">
      <c r="A37" s="2" t="str">
        <f t="shared" si="0"/>
        <v>6</v>
      </c>
      <c r="B37" s="3" t="s">
        <v>26</v>
      </c>
      <c r="C37" s="3" t="s">
        <v>23</v>
      </c>
      <c r="D37" s="3" t="s">
        <v>11</v>
      </c>
      <c r="E37" s="4">
        <v>407895.21</v>
      </c>
      <c r="F37" s="4">
        <v>0</v>
      </c>
      <c r="G37" s="4">
        <v>407895.21</v>
      </c>
      <c r="H37" s="4">
        <v>5.43</v>
      </c>
      <c r="I37" s="4">
        <v>4167</v>
      </c>
      <c r="J37" s="5">
        <v>97.89</v>
      </c>
    </row>
    <row r="38" spans="1:10" x14ac:dyDescent="0.3">
      <c r="A38" s="2" t="str">
        <f t="shared" si="0"/>
        <v>6</v>
      </c>
      <c r="B38" s="3" t="s">
        <v>26</v>
      </c>
      <c r="C38" s="3" t="s">
        <v>23</v>
      </c>
      <c r="D38" s="3" t="s">
        <v>13</v>
      </c>
      <c r="E38" s="4">
        <v>3031.72</v>
      </c>
      <c r="F38" s="4">
        <v>0</v>
      </c>
      <c r="G38" s="4">
        <v>3031.72</v>
      </c>
      <c r="H38" s="4">
        <v>0.04</v>
      </c>
      <c r="I38" s="4">
        <v>351</v>
      </c>
      <c r="J38" s="5">
        <v>8.64</v>
      </c>
    </row>
    <row r="39" spans="1:10" x14ac:dyDescent="0.3">
      <c r="A39" s="2" t="str">
        <f t="shared" si="0"/>
        <v>6</v>
      </c>
      <c r="B39" s="3" t="s">
        <v>26</v>
      </c>
      <c r="C39" s="3" t="s">
        <v>23</v>
      </c>
      <c r="D39" s="3" t="s">
        <v>14</v>
      </c>
      <c r="E39" s="4">
        <v>42844.14</v>
      </c>
      <c r="F39" s="4">
        <v>0</v>
      </c>
      <c r="G39" s="4">
        <v>42844.14</v>
      </c>
      <c r="H39" s="4">
        <v>0.56999999999999995</v>
      </c>
      <c r="I39" s="4">
        <v>252</v>
      </c>
      <c r="J39" s="5">
        <v>170.02</v>
      </c>
    </row>
    <row r="40" spans="1:10" x14ac:dyDescent="0.3">
      <c r="A40" s="2" t="str">
        <f t="shared" si="0"/>
        <v>6</v>
      </c>
      <c r="B40" s="3" t="s">
        <v>26</v>
      </c>
      <c r="C40" s="3" t="s">
        <v>23</v>
      </c>
      <c r="D40" s="3" t="s">
        <v>15</v>
      </c>
      <c r="E40" s="4">
        <v>46625.49</v>
      </c>
      <c r="F40" s="4">
        <v>8499.8700000000008</v>
      </c>
      <c r="G40" s="4">
        <v>38125.620000000003</v>
      </c>
      <c r="H40" s="4">
        <v>0.51</v>
      </c>
      <c r="I40" s="4">
        <v>613</v>
      </c>
      <c r="J40" s="5">
        <v>62.2</v>
      </c>
    </row>
    <row r="41" spans="1:10" x14ac:dyDescent="0.3">
      <c r="A41" s="2" t="str">
        <f t="shared" si="0"/>
        <v>6</v>
      </c>
      <c r="B41" s="3" t="s">
        <v>26</v>
      </c>
      <c r="C41" s="3" t="s">
        <v>23</v>
      </c>
      <c r="D41" s="3" t="s">
        <v>16</v>
      </c>
      <c r="E41" s="4">
        <v>3073.37</v>
      </c>
      <c r="F41" s="4">
        <v>0</v>
      </c>
      <c r="G41" s="4">
        <v>3073.37</v>
      </c>
      <c r="H41" s="4">
        <v>0.04</v>
      </c>
      <c r="I41" s="4">
        <v>29</v>
      </c>
      <c r="J41" s="5">
        <v>105.98</v>
      </c>
    </row>
    <row r="42" spans="1:10" x14ac:dyDescent="0.3">
      <c r="A42" s="2" t="str">
        <f t="shared" si="0"/>
        <v>6</v>
      </c>
      <c r="B42" s="3" t="s">
        <v>26</v>
      </c>
      <c r="C42" s="3" t="s">
        <v>23</v>
      </c>
      <c r="D42" s="3" t="s">
        <v>17</v>
      </c>
      <c r="E42" s="4">
        <v>893.74</v>
      </c>
      <c r="F42" s="4">
        <v>0</v>
      </c>
      <c r="G42" s="4">
        <v>893.74</v>
      </c>
      <c r="H42" s="4">
        <v>0.01</v>
      </c>
      <c r="I42" s="4">
        <v>16</v>
      </c>
      <c r="J42" s="5">
        <v>55.86</v>
      </c>
    </row>
    <row r="43" spans="1:10" x14ac:dyDescent="0.3">
      <c r="A43" s="2" t="str">
        <f t="shared" si="0"/>
        <v>7</v>
      </c>
      <c r="B43" s="3" t="s">
        <v>26</v>
      </c>
      <c r="C43" s="3" t="s">
        <v>27</v>
      </c>
      <c r="D43" s="3" t="s">
        <v>11</v>
      </c>
      <c r="E43" s="4">
        <v>15857.37</v>
      </c>
      <c r="F43" s="4">
        <v>0</v>
      </c>
      <c r="G43" s="4">
        <v>15857.37</v>
      </c>
      <c r="H43" s="4">
        <v>0.21</v>
      </c>
      <c r="I43" s="4">
        <v>145</v>
      </c>
      <c r="J43" s="5">
        <v>109.36</v>
      </c>
    </row>
    <row r="44" spans="1:10" x14ac:dyDescent="0.3">
      <c r="A44" s="2" t="str">
        <f t="shared" si="0"/>
        <v>7</v>
      </c>
      <c r="B44" s="3" t="s">
        <v>26</v>
      </c>
      <c r="C44" s="3" t="s">
        <v>27</v>
      </c>
      <c r="D44" s="3" t="s">
        <v>13</v>
      </c>
      <c r="E44" s="4">
        <v>103.01</v>
      </c>
      <c r="F44" s="4">
        <v>0</v>
      </c>
      <c r="G44" s="4">
        <v>103.01</v>
      </c>
      <c r="H44" s="4">
        <v>0</v>
      </c>
      <c r="I44" s="4">
        <v>14</v>
      </c>
      <c r="J44" s="5">
        <v>7.36</v>
      </c>
    </row>
    <row r="45" spans="1:10" x14ac:dyDescent="0.3">
      <c r="A45" s="2" t="str">
        <f t="shared" si="0"/>
        <v>7</v>
      </c>
      <c r="B45" s="3" t="s">
        <v>26</v>
      </c>
      <c r="C45" s="3" t="s">
        <v>27</v>
      </c>
      <c r="D45" s="3" t="s">
        <v>14</v>
      </c>
      <c r="E45" s="4">
        <v>2456.5100000000002</v>
      </c>
      <c r="F45" s="4">
        <v>0</v>
      </c>
      <c r="G45" s="4">
        <v>2456.5100000000002</v>
      </c>
      <c r="H45" s="4">
        <v>0.03</v>
      </c>
      <c r="I45" s="4">
        <v>9</v>
      </c>
      <c r="J45" s="5">
        <v>272.95</v>
      </c>
    </row>
    <row r="46" spans="1:10" x14ac:dyDescent="0.3">
      <c r="A46" s="2" t="str">
        <f t="shared" si="0"/>
        <v>7</v>
      </c>
      <c r="B46" s="3" t="s">
        <v>26</v>
      </c>
      <c r="C46" s="3" t="s">
        <v>27</v>
      </c>
      <c r="D46" s="3" t="s">
        <v>15</v>
      </c>
      <c r="E46" s="4">
        <v>1649.59</v>
      </c>
      <c r="F46" s="4">
        <v>120.37</v>
      </c>
      <c r="G46" s="4">
        <v>1529.22</v>
      </c>
      <c r="H46" s="4">
        <v>0.02</v>
      </c>
      <c r="I46" s="4">
        <v>23</v>
      </c>
      <c r="J46" s="5">
        <v>66.489999999999995</v>
      </c>
    </row>
    <row r="47" spans="1:10" x14ac:dyDescent="0.3">
      <c r="A47" s="2" t="str">
        <f t="shared" si="0"/>
        <v>7</v>
      </c>
      <c r="B47" s="3" t="s">
        <v>26</v>
      </c>
      <c r="C47" s="3" t="s">
        <v>27</v>
      </c>
      <c r="D47" s="3" t="s">
        <v>16</v>
      </c>
      <c r="E47" s="4">
        <v>45.18</v>
      </c>
      <c r="F47" s="4">
        <v>0</v>
      </c>
      <c r="G47" s="4">
        <v>45.18</v>
      </c>
      <c r="H47" s="4">
        <v>0</v>
      </c>
      <c r="I47" s="4">
        <v>1</v>
      </c>
      <c r="J47" s="5">
        <v>45.18</v>
      </c>
    </row>
    <row r="48" spans="1:10" x14ac:dyDescent="0.3">
      <c r="A48" s="2" t="str">
        <f t="shared" si="0"/>
        <v>1</v>
      </c>
      <c r="B48" s="3" t="s">
        <v>28</v>
      </c>
      <c r="C48" s="3" t="s">
        <v>10</v>
      </c>
      <c r="D48" s="3" t="s">
        <v>11</v>
      </c>
      <c r="E48" s="4">
        <v>674762.4</v>
      </c>
      <c r="F48" s="4">
        <v>0</v>
      </c>
      <c r="G48" s="4">
        <v>674762.4</v>
      </c>
      <c r="H48" s="4">
        <v>8.99</v>
      </c>
      <c r="I48" s="4">
        <v>8236</v>
      </c>
      <c r="J48" s="5">
        <v>81.93</v>
      </c>
    </row>
    <row r="49" spans="1:10" x14ac:dyDescent="0.3">
      <c r="A49" s="2" t="str">
        <f t="shared" si="0"/>
        <v>1</v>
      </c>
      <c r="B49" s="3" t="s">
        <v>28</v>
      </c>
      <c r="C49" s="3" t="s">
        <v>10</v>
      </c>
      <c r="D49" s="3" t="s">
        <v>13</v>
      </c>
      <c r="E49" s="4">
        <v>3880.76</v>
      </c>
      <c r="F49" s="4">
        <v>0</v>
      </c>
      <c r="G49" s="4">
        <v>3880.76</v>
      </c>
      <c r="H49" s="4">
        <v>0.05</v>
      </c>
      <c r="I49" s="4">
        <v>498</v>
      </c>
      <c r="J49" s="5">
        <v>7.79</v>
      </c>
    </row>
    <row r="50" spans="1:10" x14ac:dyDescent="0.3">
      <c r="A50" s="2" t="str">
        <f t="shared" si="0"/>
        <v>1</v>
      </c>
      <c r="B50" s="3" t="s">
        <v>28</v>
      </c>
      <c r="C50" s="3" t="s">
        <v>10</v>
      </c>
      <c r="D50" s="3" t="s">
        <v>14</v>
      </c>
      <c r="E50" s="4">
        <v>38340.97</v>
      </c>
      <c r="F50" s="4">
        <v>0</v>
      </c>
      <c r="G50" s="4">
        <v>38340.97</v>
      </c>
      <c r="H50" s="4">
        <v>0.51</v>
      </c>
      <c r="I50" s="4">
        <v>333</v>
      </c>
      <c r="J50" s="5">
        <v>115.14</v>
      </c>
    </row>
    <row r="51" spans="1:10" x14ac:dyDescent="0.3">
      <c r="A51" s="2" t="str">
        <f t="shared" si="0"/>
        <v>1</v>
      </c>
      <c r="B51" s="3" t="s">
        <v>28</v>
      </c>
      <c r="C51" s="3" t="s">
        <v>10</v>
      </c>
      <c r="D51" s="3" t="s">
        <v>15</v>
      </c>
      <c r="E51" s="4">
        <v>93070.24</v>
      </c>
      <c r="F51" s="4">
        <v>22544.46</v>
      </c>
      <c r="G51" s="4">
        <v>70525.78</v>
      </c>
      <c r="H51" s="4">
        <v>0.94</v>
      </c>
      <c r="I51" s="4">
        <v>1461</v>
      </c>
      <c r="J51" s="5">
        <v>48.27</v>
      </c>
    </row>
    <row r="52" spans="1:10" x14ac:dyDescent="0.3">
      <c r="A52" s="2" t="str">
        <f t="shared" si="0"/>
        <v>1</v>
      </c>
      <c r="B52" s="3" t="s">
        <v>28</v>
      </c>
      <c r="C52" s="3" t="s">
        <v>10</v>
      </c>
      <c r="D52" s="3" t="s">
        <v>21</v>
      </c>
      <c r="E52" s="4">
        <v>441.04</v>
      </c>
      <c r="F52" s="4">
        <v>0</v>
      </c>
      <c r="G52" s="4">
        <v>441.04</v>
      </c>
      <c r="H52" s="4">
        <v>0.01</v>
      </c>
      <c r="I52" s="4">
        <v>1</v>
      </c>
      <c r="J52" s="5">
        <v>441.04</v>
      </c>
    </row>
    <row r="53" spans="1:10" x14ac:dyDescent="0.3">
      <c r="A53" s="2" t="str">
        <f t="shared" si="0"/>
        <v>1</v>
      </c>
      <c r="B53" s="3" t="s">
        <v>28</v>
      </c>
      <c r="C53" s="3" t="s">
        <v>10</v>
      </c>
      <c r="D53" s="3" t="s">
        <v>16</v>
      </c>
      <c r="E53" s="4">
        <v>3653.89</v>
      </c>
      <c r="F53" s="4">
        <v>0</v>
      </c>
      <c r="G53" s="4">
        <v>3653.89</v>
      </c>
      <c r="H53" s="4">
        <v>0.05</v>
      </c>
      <c r="I53" s="4">
        <v>37</v>
      </c>
      <c r="J53" s="5">
        <v>98.75</v>
      </c>
    </row>
    <row r="54" spans="1:10" x14ac:dyDescent="0.3">
      <c r="A54" s="2" t="str">
        <f t="shared" si="0"/>
        <v>1</v>
      </c>
      <c r="B54" s="3" t="s">
        <v>28</v>
      </c>
      <c r="C54" s="3" t="s">
        <v>10</v>
      </c>
      <c r="D54" s="3" t="s">
        <v>17</v>
      </c>
      <c r="E54" s="4">
        <v>1644.48</v>
      </c>
      <c r="F54" s="4">
        <v>0</v>
      </c>
      <c r="G54" s="4">
        <v>1644.48</v>
      </c>
      <c r="H54" s="4">
        <v>0.02</v>
      </c>
      <c r="I54" s="4">
        <v>25</v>
      </c>
      <c r="J54" s="5">
        <v>65.78</v>
      </c>
    </row>
    <row r="55" spans="1:10" x14ac:dyDescent="0.3">
      <c r="A55" s="2" t="str">
        <f t="shared" si="0"/>
        <v>2</v>
      </c>
      <c r="B55" s="3" t="s">
        <v>28</v>
      </c>
      <c r="C55" s="3" t="s">
        <v>18</v>
      </c>
      <c r="D55" s="3" t="s">
        <v>11</v>
      </c>
      <c r="E55" s="4">
        <v>698521.38</v>
      </c>
      <c r="F55" s="4">
        <v>0</v>
      </c>
      <c r="G55" s="4">
        <v>698521.38</v>
      </c>
      <c r="H55" s="4">
        <v>9.3000000000000007</v>
      </c>
      <c r="I55" s="4">
        <v>8152</v>
      </c>
      <c r="J55" s="5">
        <v>85.69</v>
      </c>
    </row>
    <row r="56" spans="1:10" x14ac:dyDescent="0.3">
      <c r="A56" s="2" t="str">
        <f t="shared" si="0"/>
        <v>2</v>
      </c>
      <c r="B56" s="3" t="s">
        <v>28</v>
      </c>
      <c r="C56" s="3" t="s">
        <v>18</v>
      </c>
      <c r="D56" s="3" t="s">
        <v>13</v>
      </c>
      <c r="E56" s="4">
        <v>3713.66</v>
      </c>
      <c r="F56" s="4">
        <v>0</v>
      </c>
      <c r="G56" s="4">
        <v>3713.66</v>
      </c>
      <c r="H56" s="4">
        <v>0.05</v>
      </c>
      <c r="I56" s="4">
        <v>517</v>
      </c>
      <c r="J56" s="5">
        <v>7.18</v>
      </c>
    </row>
    <row r="57" spans="1:10" x14ac:dyDescent="0.3">
      <c r="A57" s="2" t="str">
        <f t="shared" si="0"/>
        <v>2</v>
      </c>
      <c r="B57" s="3" t="s">
        <v>28</v>
      </c>
      <c r="C57" s="3" t="s">
        <v>18</v>
      </c>
      <c r="D57" s="3" t="s">
        <v>14</v>
      </c>
      <c r="E57" s="4">
        <v>41042.1</v>
      </c>
      <c r="F57" s="4">
        <v>0</v>
      </c>
      <c r="G57" s="4">
        <v>41042.1</v>
      </c>
      <c r="H57" s="4">
        <v>0.55000000000000004</v>
      </c>
      <c r="I57" s="4">
        <v>305</v>
      </c>
      <c r="J57" s="5">
        <v>134.56</v>
      </c>
    </row>
    <row r="58" spans="1:10" x14ac:dyDescent="0.3">
      <c r="A58" s="2" t="str">
        <f t="shared" si="0"/>
        <v>2</v>
      </c>
      <c r="B58" s="3" t="s">
        <v>28</v>
      </c>
      <c r="C58" s="3" t="s">
        <v>18</v>
      </c>
      <c r="D58" s="3" t="s">
        <v>15</v>
      </c>
      <c r="E58" s="4">
        <v>95064.21</v>
      </c>
      <c r="F58" s="4">
        <v>22506.87</v>
      </c>
      <c r="G58" s="4">
        <v>72557.34</v>
      </c>
      <c r="H58" s="4">
        <v>0.97</v>
      </c>
      <c r="I58" s="4">
        <v>1402</v>
      </c>
      <c r="J58" s="5">
        <v>51.75</v>
      </c>
    </row>
    <row r="59" spans="1:10" x14ac:dyDescent="0.3">
      <c r="A59" s="2" t="str">
        <f t="shared" si="0"/>
        <v>2</v>
      </c>
      <c r="B59" s="3" t="s">
        <v>28</v>
      </c>
      <c r="C59" s="3" t="s">
        <v>18</v>
      </c>
      <c r="D59" s="3" t="s">
        <v>24</v>
      </c>
      <c r="E59" s="4">
        <v>55.96</v>
      </c>
      <c r="F59" s="4">
        <v>0</v>
      </c>
      <c r="G59" s="4">
        <v>55.96</v>
      </c>
      <c r="H59" s="4">
        <v>0</v>
      </c>
      <c r="I59" s="4">
        <v>1</v>
      </c>
      <c r="J59" s="5">
        <v>55.96</v>
      </c>
    </row>
    <row r="60" spans="1:10" x14ac:dyDescent="0.3">
      <c r="A60" s="2" t="str">
        <f t="shared" si="0"/>
        <v>2</v>
      </c>
      <c r="B60" s="3" t="s">
        <v>28</v>
      </c>
      <c r="C60" s="3" t="s">
        <v>18</v>
      </c>
      <c r="D60" s="3" t="s">
        <v>16</v>
      </c>
      <c r="E60" s="4">
        <v>2943</v>
      </c>
      <c r="F60" s="4">
        <v>0</v>
      </c>
      <c r="G60" s="4">
        <v>2943</v>
      </c>
      <c r="H60" s="4">
        <v>0.04</v>
      </c>
      <c r="I60" s="4">
        <v>28</v>
      </c>
      <c r="J60" s="5">
        <v>105.11</v>
      </c>
    </row>
    <row r="61" spans="1:10" x14ac:dyDescent="0.3">
      <c r="A61" s="2" t="str">
        <f t="shared" si="0"/>
        <v>2</v>
      </c>
      <c r="B61" s="3" t="s">
        <v>28</v>
      </c>
      <c r="C61" s="3" t="s">
        <v>18</v>
      </c>
      <c r="D61" s="3" t="s">
        <v>17</v>
      </c>
      <c r="E61" s="4">
        <v>2455.25</v>
      </c>
      <c r="F61" s="4">
        <v>0</v>
      </c>
      <c r="G61" s="4">
        <v>2455.25</v>
      </c>
      <c r="H61" s="4">
        <v>0.03</v>
      </c>
      <c r="I61" s="4">
        <v>39</v>
      </c>
      <c r="J61" s="5">
        <v>62.96</v>
      </c>
    </row>
    <row r="62" spans="1:10" x14ac:dyDescent="0.3">
      <c r="A62" s="2" t="str">
        <f t="shared" si="0"/>
        <v>3</v>
      </c>
      <c r="B62" s="3" t="s">
        <v>28</v>
      </c>
      <c r="C62" s="3" t="s">
        <v>19</v>
      </c>
      <c r="D62" s="3" t="s">
        <v>11</v>
      </c>
      <c r="E62" s="4">
        <v>851510.25</v>
      </c>
      <c r="F62" s="4">
        <v>0</v>
      </c>
      <c r="G62" s="4">
        <v>851510.25</v>
      </c>
      <c r="H62" s="4">
        <v>11.34</v>
      </c>
      <c r="I62" s="4">
        <v>9684</v>
      </c>
      <c r="J62" s="5">
        <v>87.93</v>
      </c>
    </row>
    <row r="63" spans="1:10" x14ac:dyDescent="0.3">
      <c r="A63" s="2" t="str">
        <f t="shared" si="0"/>
        <v>3</v>
      </c>
      <c r="B63" s="3" t="s">
        <v>28</v>
      </c>
      <c r="C63" s="3" t="s">
        <v>19</v>
      </c>
      <c r="D63" s="3" t="s">
        <v>13</v>
      </c>
      <c r="E63" s="4">
        <v>4674.12</v>
      </c>
      <c r="F63" s="4">
        <v>0</v>
      </c>
      <c r="G63" s="4">
        <v>4674.12</v>
      </c>
      <c r="H63" s="4">
        <v>0.06</v>
      </c>
      <c r="I63" s="4">
        <v>656</v>
      </c>
      <c r="J63" s="5">
        <v>7.13</v>
      </c>
    </row>
    <row r="64" spans="1:10" x14ac:dyDescent="0.3">
      <c r="A64" s="2" t="str">
        <f t="shared" si="0"/>
        <v>3</v>
      </c>
      <c r="B64" s="3" t="s">
        <v>28</v>
      </c>
      <c r="C64" s="3" t="s">
        <v>19</v>
      </c>
      <c r="D64" s="3" t="s">
        <v>14</v>
      </c>
      <c r="E64" s="4">
        <v>57214.36</v>
      </c>
      <c r="F64" s="4">
        <v>0</v>
      </c>
      <c r="G64" s="4">
        <v>57214.36</v>
      </c>
      <c r="H64" s="4">
        <v>0.76</v>
      </c>
      <c r="I64" s="4">
        <v>373</v>
      </c>
      <c r="J64" s="5">
        <v>153.38999999999999</v>
      </c>
    </row>
    <row r="65" spans="1:10" x14ac:dyDescent="0.3">
      <c r="A65" s="2" t="str">
        <f t="shared" si="0"/>
        <v>3</v>
      </c>
      <c r="B65" s="3" t="s">
        <v>28</v>
      </c>
      <c r="C65" s="3" t="s">
        <v>19</v>
      </c>
      <c r="D65" s="3" t="s">
        <v>15</v>
      </c>
      <c r="E65" s="4">
        <v>112964.08</v>
      </c>
      <c r="F65" s="4">
        <v>26690.03</v>
      </c>
      <c r="G65" s="4">
        <v>86274.05</v>
      </c>
      <c r="H65" s="4">
        <v>1.1499999999999999</v>
      </c>
      <c r="I65" s="4">
        <v>1602</v>
      </c>
      <c r="J65" s="5">
        <v>53.85</v>
      </c>
    </row>
    <row r="66" spans="1:10" x14ac:dyDescent="0.3">
      <c r="A66" s="2" t="str">
        <f t="shared" si="0"/>
        <v>3</v>
      </c>
      <c r="B66" s="3" t="s">
        <v>28</v>
      </c>
      <c r="C66" s="3" t="s">
        <v>19</v>
      </c>
      <c r="D66" s="3" t="s">
        <v>21</v>
      </c>
      <c r="E66" s="4">
        <v>103.76</v>
      </c>
      <c r="F66" s="4">
        <v>0</v>
      </c>
      <c r="G66" s="4">
        <v>103.76</v>
      </c>
      <c r="H66" s="4">
        <v>0</v>
      </c>
      <c r="I66" s="4">
        <v>1</v>
      </c>
      <c r="J66" s="5">
        <v>103.76</v>
      </c>
    </row>
    <row r="67" spans="1:10" x14ac:dyDescent="0.3">
      <c r="A67" s="2" t="str">
        <f t="shared" ref="A67:A100" si="1">RIGHT(C67,1)</f>
        <v>3</v>
      </c>
      <c r="B67" s="3" t="s">
        <v>28</v>
      </c>
      <c r="C67" s="3" t="s">
        <v>19</v>
      </c>
      <c r="D67" s="3" t="s">
        <v>16</v>
      </c>
      <c r="E67" s="4">
        <v>5938.26</v>
      </c>
      <c r="F67" s="4">
        <v>0</v>
      </c>
      <c r="G67" s="4">
        <v>5938.26</v>
      </c>
      <c r="H67" s="4">
        <v>0.08</v>
      </c>
      <c r="I67" s="4">
        <v>48</v>
      </c>
      <c r="J67" s="5">
        <v>123.71</v>
      </c>
    </row>
    <row r="68" spans="1:10" x14ac:dyDescent="0.3">
      <c r="A68" s="2" t="str">
        <f t="shared" si="1"/>
        <v>3</v>
      </c>
      <c r="B68" s="3" t="s">
        <v>28</v>
      </c>
      <c r="C68" s="3" t="s">
        <v>19</v>
      </c>
      <c r="D68" s="3" t="s">
        <v>17</v>
      </c>
      <c r="E68" s="4">
        <v>2093.71</v>
      </c>
      <c r="F68" s="4">
        <v>0</v>
      </c>
      <c r="G68" s="4">
        <v>2093.71</v>
      </c>
      <c r="H68" s="4">
        <v>0.03</v>
      </c>
      <c r="I68" s="4">
        <v>35</v>
      </c>
      <c r="J68" s="5">
        <v>59.82</v>
      </c>
    </row>
    <row r="69" spans="1:10" x14ac:dyDescent="0.3">
      <c r="A69" s="2" t="str">
        <f t="shared" si="1"/>
        <v>4</v>
      </c>
      <c r="B69" s="3" t="s">
        <v>28</v>
      </c>
      <c r="C69" s="3" t="s">
        <v>20</v>
      </c>
      <c r="D69" s="3" t="s">
        <v>11</v>
      </c>
      <c r="E69" s="4">
        <v>725127.34</v>
      </c>
      <c r="F69" s="4">
        <v>0</v>
      </c>
      <c r="G69" s="4">
        <v>725127.34</v>
      </c>
      <c r="H69" s="4">
        <v>9.66</v>
      </c>
      <c r="I69" s="4">
        <v>8281</v>
      </c>
      <c r="J69" s="5">
        <v>87.57</v>
      </c>
    </row>
    <row r="70" spans="1:10" x14ac:dyDescent="0.3">
      <c r="A70" s="2" t="str">
        <f t="shared" si="1"/>
        <v>4</v>
      </c>
      <c r="B70" s="3" t="s">
        <v>28</v>
      </c>
      <c r="C70" s="3" t="s">
        <v>20</v>
      </c>
      <c r="D70" s="3" t="s">
        <v>13</v>
      </c>
      <c r="E70" s="4">
        <v>4675.7</v>
      </c>
      <c r="F70" s="4">
        <v>0</v>
      </c>
      <c r="G70" s="4">
        <v>4675.7</v>
      </c>
      <c r="H70" s="4">
        <v>0.06</v>
      </c>
      <c r="I70" s="4">
        <v>632</v>
      </c>
      <c r="J70" s="5">
        <v>7.4</v>
      </c>
    </row>
    <row r="71" spans="1:10" x14ac:dyDescent="0.3">
      <c r="A71" s="2" t="str">
        <f t="shared" si="1"/>
        <v>4</v>
      </c>
      <c r="B71" s="3" t="s">
        <v>28</v>
      </c>
      <c r="C71" s="3" t="s">
        <v>20</v>
      </c>
      <c r="D71" s="3" t="s">
        <v>14</v>
      </c>
      <c r="E71" s="4">
        <v>37628.54</v>
      </c>
      <c r="F71" s="4">
        <v>0</v>
      </c>
      <c r="G71" s="4">
        <v>37628.54</v>
      </c>
      <c r="H71" s="4">
        <v>0.5</v>
      </c>
      <c r="I71" s="4">
        <v>275</v>
      </c>
      <c r="J71" s="5">
        <v>136.83000000000001</v>
      </c>
    </row>
    <row r="72" spans="1:10" x14ac:dyDescent="0.3">
      <c r="A72" s="2" t="str">
        <f t="shared" si="1"/>
        <v>4</v>
      </c>
      <c r="B72" s="3" t="s">
        <v>28</v>
      </c>
      <c r="C72" s="3" t="s">
        <v>20</v>
      </c>
      <c r="D72" s="3" t="s">
        <v>15</v>
      </c>
      <c r="E72" s="4">
        <v>99752.08</v>
      </c>
      <c r="F72" s="4">
        <v>24044.36</v>
      </c>
      <c r="G72" s="4">
        <v>75707.72</v>
      </c>
      <c r="H72" s="4">
        <v>1.01</v>
      </c>
      <c r="I72" s="4">
        <v>1459</v>
      </c>
      <c r="J72" s="5">
        <v>51.89</v>
      </c>
    </row>
    <row r="73" spans="1:10" x14ac:dyDescent="0.3">
      <c r="A73" s="2" t="str">
        <f t="shared" si="1"/>
        <v>4</v>
      </c>
      <c r="B73" s="3" t="s">
        <v>28</v>
      </c>
      <c r="C73" s="3" t="s">
        <v>20</v>
      </c>
      <c r="D73" s="3" t="s">
        <v>21</v>
      </c>
      <c r="E73" s="4">
        <v>291.57</v>
      </c>
      <c r="F73" s="4">
        <v>0</v>
      </c>
      <c r="G73" s="4">
        <v>291.57</v>
      </c>
      <c r="H73" s="4">
        <v>0</v>
      </c>
      <c r="I73" s="4">
        <v>3</v>
      </c>
      <c r="J73" s="5">
        <v>97.19</v>
      </c>
    </row>
    <row r="74" spans="1:10" x14ac:dyDescent="0.3">
      <c r="A74" s="2" t="str">
        <f t="shared" si="1"/>
        <v>4</v>
      </c>
      <c r="B74" s="3" t="s">
        <v>28</v>
      </c>
      <c r="C74" s="3" t="s">
        <v>20</v>
      </c>
      <c r="D74" s="3" t="s">
        <v>24</v>
      </c>
      <c r="E74" s="4">
        <v>7.35</v>
      </c>
      <c r="F74" s="4">
        <v>0</v>
      </c>
      <c r="G74" s="4">
        <v>7.35</v>
      </c>
      <c r="H74" s="4">
        <v>0</v>
      </c>
      <c r="I74" s="4">
        <v>1</v>
      </c>
      <c r="J74" s="5">
        <v>7.35</v>
      </c>
    </row>
    <row r="75" spans="1:10" x14ac:dyDescent="0.3">
      <c r="A75" s="2" t="str">
        <f t="shared" si="1"/>
        <v>4</v>
      </c>
      <c r="B75" s="3" t="s">
        <v>28</v>
      </c>
      <c r="C75" s="3" t="s">
        <v>20</v>
      </c>
      <c r="D75" s="3" t="s">
        <v>25</v>
      </c>
      <c r="E75" s="4">
        <v>187.43</v>
      </c>
      <c r="F75" s="4">
        <v>0</v>
      </c>
      <c r="G75" s="4">
        <v>187.43</v>
      </c>
      <c r="H75" s="4">
        <v>0</v>
      </c>
      <c r="I75" s="4">
        <v>1</v>
      </c>
      <c r="J75" s="5">
        <v>187.43</v>
      </c>
    </row>
    <row r="76" spans="1:10" x14ac:dyDescent="0.3">
      <c r="A76" s="2" t="str">
        <f t="shared" si="1"/>
        <v>4</v>
      </c>
      <c r="B76" s="3" t="s">
        <v>28</v>
      </c>
      <c r="C76" s="3" t="s">
        <v>20</v>
      </c>
      <c r="D76" s="3" t="s">
        <v>16</v>
      </c>
      <c r="E76" s="4">
        <v>3366.55</v>
      </c>
      <c r="F76" s="4">
        <v>0</v>
      </c>
      <c r="G76" s="4">
        <v>3366.55</v>
      </c>
      <c r="H76" s="4">
        <v>0.04</v>
      </c>
      <c r="I76" s="4">
        <v>33</v>
      </c>
      <c r="J76" s="5">
        <v>102.02</v>
      </c>
    </row>
    <row r="77" spans="1:10" x14ac:dyDescent="0.3">
      <c r="A77" s="2" t="str">
        <f t="shared" si="1"/>
        <v>4</v>
      </c>
      <c r="B77" s="3" t="s">
        <v>28</v>
      </c>
      <c r="C77" s="3" t="s">
        <v>20</v>
      </c>
      <c r="D77" s="3" t="s">
        <v>17</v>
      </c>
      <c r="E77" s="4">
        <v>2148.54</v>
      </c>
      <c r="F77" s="4">
        <v>0</v>
      </c>
      <c r="G77" s="4">
        <v>2148.54</v>
      </c>
      <c r="H77" s="4">
        <v>0.03</v>
      </c>
      <c r="I77" s="4">
        <v>40</v>
      </c>
      <c r="J77" s="5">
        <v>53.71</v>
      </c>
    </row>
    <row r="78" spans="1:10" x14ac:dyDescent="0.3">
      <c r="A78" s="2" t="str">
        <f t="shared" si="1"/>
        <v>5</v>
      </c>
      <c r="B78" s="3" t="s">
        <v>28</v>
      </c>
      <c r="C78" s="3" t="s">
        <v>22</v>
      </c>
      <c r="D78" s="3" t="s">
        <v>11</v>
      </c>
      <c r="E78" s="4">
        <v>757197.58</v>
      </c>
      <c r="F78" s="4">
        <v>0</v>
      </c>
      <c r="G78" s="4">
        <v>757197.58</v>
      </c>
      <c r="H78" s="4">
        <v>10.09</v>
      </c>
      <c r="I78" s="4">
        <v>8700</v>
      </c>
      <c r="J78" s="5">
        <v>87.03</v>
      </c>
    </row>
    <row r="79" spans="1:10" x14ac:dyDescent="0.3">
      <c r="A79" s="2" t="str">
        <f t="shared" si="1"/>
        <v>5</v>
      </c>
      <c r="B79" s="3" t="s">
        <v>28</v>
      </c>
      <c r="C79" s="3" t="s">
        <v>22</v>
      </c>
      <c r="D79" s="3" t="s">
        <v>12</v>
      </c>
      <c r="E79" s="4">
        <v>2750</v>
      </c>
      <c r="F79" s="4">
        <v>0</v>
      </c>
      <c r="G79" s="4">
        <v>2750</v>
      </c>
      <c r="H79" s="4">
        <v>0.04</v>
      </c>
      <c r="I79" s="4">
        <v>4</v>
      </c>
      <c r="J79" s="5">
        <v>687.5</v>
      </c>
    </row>
    <row r="80" spans="1:10" x14ac:dyDescent="0.3">
      <c r="A80" s="2" t="str">
        <f t="shared" si="1"/>
        <v>5</v>
      </c>
      <c r="B80" s="3" t="s">
        <v>28</v>
      </c>
      <c r="C80" s="3" t="s">
        <v>22</v>
      </c>
      <c r="D80" s="3" t="s">
        <v>13</v>
      </c>
      <c r="E80" s="4">
        <v>4433.8100000000004</v>
      </c>
      <c r="F80" s="4">
        <v>0</v>
      </c>
      <c r="G80" s="4">
        <v>4433.8100000000004</v>
      </c>
      <c r="H80" s="4">
        <v>0.06</v>
      </c>
      <c r="I80" s="4">
        <v>601</v>
      </c>
      <c r="J80" s="5">
        <v>7.38</v>
      </c>
    </row>
    <row r="81" spans="1:10" x14ac:dyDescent="0.3">
      <c r="A81" s="2" t="str">
        <f t="shared" si="1"/>
        <v>5</v>
      </c>
      <c r="B81" s="3" t="s">
        <v>28</v>
      </c>
      <c r="C81" s="3" t="s">
        <v>22</v>
      </c>
      <c r="D81" s="3" t="s">
        <v>14</v>
      </c>
      <c r="E81" s="4">
        <v>42705.82</v>
      </c>
      <c r="F81" s="4">
        <v>0</v>
      </c>
      <c r="G81" s="4">
        <v>42705.82</v>
      </c>
      <c r="H81" s="4">
        <v>0.56999999999999995</v>
      </c>
      <c r="I81" s="4">
        <v>292</v>
      </c>
      <c r="J81" s="5">
        <v>146.25</v>
      </c>
    </row>
    <row r="82" spans="1:10" x14ac:dyDescent="0.3">
      <c r="A82" s="2" t="str">
        <f t="shared" si="1"/>
        <v>5</v>
      </c>
      <c r="B82" s="3" t="s">
        <v>28</v>
      </c>
      <c r="C82" s="3" t="s">
        <v>22</v>
      </c>
      <c r="D82" s="3" t="s">
        <v>15</v>
      </c>
      <c r="E82" s="4">
        <v>109615.58</v>
      </c>
      <c r="F82" s="4">
        <v>26722.77</v>
      </c>
      <c r="G82" s="4">
        <v>82892.81</v>
      </c>
      <c r="H82" s="4">
        <v>1.1000000000000001</v>
      </c>
      <c r="I82" s="4">
        <v>1569</v>
      </c>
      <c r="J82" s="5">
        <v>52.83</v>
      </c>
    </row>
    <row r="83" spans="1:10" x14ac:dyDescent="0.3">
      <c r="A83" s="2" t="str">
        <f t="shared" si="1"/>
        <v>5</v>
      </c>
      <c r="B83" s="3" t="s">
        <v>28</v>
      </c>
      <c r="C83" s="3" t="s">
        <v>22</v>
      </c>
      <c r="D83" s="3" t="s">
        <v>21</v>
      </c>
      <c r="E83" s="4">
        <v>191.98</v>
      </c>
      <c r="F83" s="4">
        <v>0</v>
      </c>
      <c r="G83" s="4">
        <v>191.98</v>
      </c>
      <c r="H83" s="4">
        <v>0</v>
      </c>
      <c r="I83" s="4">
        <v>6</v>
      </c>
      <c r="J83" s="5">
        <v>32</v>
      </c>
    </row>
    <row r="84" spans="1:10" x14ac:dyDescent="0.3">
      <c r="A84" s="2" t="str">
        <f t="shared" si="1"/>
        <v>5</v>
      </c>
      <c r="B84" s="3" t="s">
        <v>28</v>
      </c>
      <c r="C84" s="3" t="s">
        <v>22</v>
      </c>
      <c r="D84" s="3" t="s">
        <v>24</v>
      </c>
      <c r="E84" s="4">
        <v>216.57</v>
      </c>
      <c r="F84" s="4">
        <v>0</v>
      </c>
      <c r="G84" s="4">
        <v>216.57</v>
      </c>
      <c r="H84" s="4">
        <v>0</v>
      </c>
      <c r="I84" s="4">
        <v>4</v>
      </c>
      <c r="J84" s="5">
        <v>54.14</v>
      </c>
    </row>
    <row r="85" spans="1:10" x14ac:dyDescent="0.3">
      <c r="A85" s="2" t="str">
        <f t="shared" si="1"/>
        <v>5</v>
      </c>
      <c r="B85" s="3" t="s">
        <v>28</v>
      </c>
      <c r="C85" s="3" t="s">
        <v>22</v>
      </c>
      <c r="D85" s="3" t="s">
        <v>16</v>
      </c>
      <c r="E85" s="4">
        <v>4202.47</v>
      </c>
      <c r="F85" s="4">
        <v>0</v>
      </c>
      <c r="G85" s="4">
        <v>4202.47</v>
      </c>
      <c r="H85" s="4">
        <v>0.06</v>
      </c>
      <c r="I85" s="4">
        <v>38</v>
      </c>
      <c r="J85" s="5">
        <v>110.59</v>
      </c>
    </row>
    <row r="86" spans="1:10" x14ac:dyDescent="0.3">
      <c r="A86" s="2" t="str">
        <f t="shared" si="1"/>
        <v>5</v>
      </c>
      <c r="B86" s="3" t="s">
        <v>28</v>
      </c>
      <c r="C86" s="3" t="s">
        <v>22</v>
      </c>
      <c r="D86" s="3" t="s">
        <v>17</v>
      </c>
      <c r="E86" s="4">
        <v>2016.64</v>
      </c>
      <c r="F86" s="4">
        <v>0</v>
      </c>
      <c r="G86" s="4">
        <v>2016.64</v>
      </c>
      <c r="H86" s="4">
        <v>0.03</v>
      </c>
      <c r="I86" s="4">
        <v>32</v>
      </c>
      <c r="J86" s="5">
        <v>63.02</v>
      </c>
    </row>
    <row r="87" spans="1:10" x14ac:dyDescent="0.3">
      <c r="A87" s="2" t="str">
        <f t="shared" si="1"/>
        <v>6</v>
      </c>
      <c r="B87" s="3" t="s">
        <v>28</v>
      </c>
      <c r="C87" s="3" t="s">
        <v>23</v>
      </c>
      <c r="D87" s="3" t="s">
        <v>11</v>
      </c>
      <c r="E87" s="4">
        <v>747057.91</v>
      </c>
      <c r="F87" s="4">
        <v>0</v>
      </c>
      <c r="G87" s="4">
        <v>747057.91</v>
      </c>
      <c r="H87" s="4">
        <v>9.9499999999999993</v>
      </c>
      <c r="I87" s="4">
        <v>8425</v>
      </c>
      <c r="J87" s="5">
        <v>88.67</v>
      </c>
    </row>
    <row r="88" spans="1:10" x14ac:dyDescent="0.3">
      <c r="A88" s="2" t="str">
        <f t="shared" si="1"/>
        <v>6</v>
      </c>
      <c r="B88" s="3" t="s">
        <v>28</v>
      </c>
      <c r="C88" s="3" t="s">
        <v>23</v>
      </c>
      <c r="D88" s="3" t="s">
        <v>13</v>
      </c>
      <c r="E88" s="4">
        <v>4308.8999999999996</v>
      </c>
      <c r="F88" s="4">
        <v>0</v>
      </c>
      <c r="G88" s="4">
        <v>4308.8999999999996</v>
      </c>
      <c r="H88" s="4">
        <v>0.06</v>
      </c>
      <c r="I88" s="4">
        <v>572</v>
      </c>
      <c r="J88" s="5">
        <v>7.53</v>
      </c>
    </row>
    <row r="89" spans="1:10" x14ac:dyDescent="0.3">
      <c r="A89" s="2" t="str">
        <f t="shared" si="1"/>
        <v>6</v>
      </c>
      <c r="B89" s="3" t="s">
        <v>28</v>
      </c>
      <c r="C89" s="3" t="s">
        <v>23</v>
      </c>
      <c r="D89" s="3" t="s">
        <v>14</v>
      </c>
      <c r="E89" s="4">
        <v>38668.19</v>
      </c>
      <c r="F89" s="4">
        <v>0</v>
      </c>
      <c r="G89" s="4">
        <v>38668.19</v>
      </c>
      <c r="H89" s="4">
        <v>0.52</v>
      </c>
      <c r="I89" s="4">
        <v>272</v>
      </c>
      <c r="J89" s="5">
        <v>142.16</v>
      </c>
    </row>
    <row r="90" spans="1:10" x14ac:dyDescent="0.3">
      <c r="A90" s="2" t="str">
        <f t="shared" si="1"/>
        <v>6</v>
      </c>
      <c r="B90" s="3" t="s">
        <v>28</v>
      </c>
      <c r="C90" s="3" t="s">
        <v>23</v>
      </c>
      <c r="D90" s="3" t="s">
        <v>15</v>
      </c>
      <c r="E90" s="4">
        <v>104131.34</v>
      </c>
      <c r="F90" s="4">
        <v>23789.14</v>
      </c>
      <c r="G90" s="4">
        <v>80342.2</v>
      </c>
      <c r="H90" s="4">
        <v>1.07</v>
      </c>
      <c r="I90" s="4">
        <v>1484</v>
      </c>
      <c r="J90" s="5">
        <v>54.14</v>
      </c>
    </row>
    <row r="91" spans="1:10" x14ac:dyDescent="0.3">
      <c r="A91" s="2" t="str">
        <f t="shared" si="1"/>
        <v>6</v>
      </c>
      <c r="B91" s="3" t="s">
        <v>28</v>
      </c>
      <c r="C91" s="3" t="s">
        <v>23</v>
      </c>
      <c r="D91" s="3" t="s">
        <v>21</v>
      </c>
      <c r="E91" s="4">
        <v>1506.56</v>
      </c>
      <c r="F91" s="4">
        <v>0</v>
      </c>
      <c r="G91" s="4">
        <v>1506.56</v>
      </c>
      <c r="H91" s="4">
        <v>0.02</v>
      </c>
      <c r="I91" s="4">
        <v>21</v>
      </c>
      <c r="J91" s="5">
        <v>71.739999999999995</v>
      </c>
    </row>
    <row r="92" spans="1:10" x14ac:dyDescent="0.3">
      <c r="A92" s="2" t="str">
        <f t="shared" si="1"/>
        <v>6</v>
      </c>
      <c r="B92" s="3" t="s">
        <v>28</v>
      </c>
      <c r="C92" s="3" t="s">
        <v>23</v>
      </c>
      <c r="D92" s="3" t="s">
        <v>24</v>
      </c>
      <c r="E92" s="4">
        <v>439.16</v>
      </c>
      <c r="F92" s="4">
        <v>0</v>
      </c>
      <c r="G92" s="4">
        <v>439.16</v>
      </c>
      <c r="H92" s="4">
        <v>0.01</v>
      </c>
      <c r="I92" s="4">
        <v>2</v>
      </c>
      <c r="J92" s="5">
        <v>219.58</v>
      </c>
    </row>
    <row r="93" spans="1:10" x14ac:dyDescent="0.3">
      <c r="A93" s="2" t="str">
        <f t="shared" si="1"/>
        <v>6</v>
      </c>
      <c r="B93" s="3" t="s">
        <v>28</v>
      </c>
      <c r="C93" s="3" t="s">
        <v>23</v>
      </c>
      <c r="D93" s="3" t="s">
        <v>16</v>
      </c>
      <c r="E93" s="4">
        <v>3950.13</v>
      </c>
      <c r="F93" s="4">
        <v>0</v>
      </c>
      <c r="G93" s="4">
        <v>3950.13</v>
      </c>
      <c r="H93" s="4">
        <v>0.05</v>
      </c>
      <c r="I93" s="4">
        <v>35</v>
      </c>
      <c r="J93" s="5">
        <v>112.86</v>
      </c>
    </row>
    <row r="94" spans="1:10" x14ac:dyDescent="0.3">
      <c r="A94" s="2" t="str">
        <f t="shared" si="1"/>
        <v>6</v>
      </c>
      <c r="B94" s="3" t="s">
        <v>28</v>
      </c>
      <c r="C94" s="3" t="s">
        <v>23</v>
      </c>
      <c r="D94" s="3" t="s">
        <v>17</v>
      </c>
      <c r="E94" s="4">
        <v>8981.17</v>
      </c>
      <c r="F94" s="4">
        <v>0</v>
      </c>
      <c r="G94" s="4">
        <v>8981.17</v>
      </c>
      <c r="H94" s="4">
        <v>0.12</v>
      </c>
      <c r="I94" s="4">
        <v>47</v>
      </c>
      <c r="J94" s="5">
        <v>191.09</v>
      </c>
    </row>
    <row r="95" spans="1:10" x14ac:dyDescent="0.3">
      <c r="A95" s="2" t="str">
        <f t="shared" si="1"/>
        <v>7</v>
      </c>
      <c r="B95" s="3" t="s">
        <v>28</v>
      </c>
      <c r="C95" s="3" t="s">
        <v>27</v>
      </c>
      <c r="D95" s="3" t="s">
        <v>11</v>
      </c>
      <c r="E95" s="4">
        <v>28169.7</v>
      </c>
      <c r="F95" s="4">
        <v>0</v>
      </c>
      <c r="G95" s="4">
        <v>28169.7</v>
      </c>
      <c r="H95" s="4">
        <v>0.38</v>
      </c>
      <c r="I95" s="4">
        <v>322</v>
      </c>
      <c r="J95" s="5">
        <v>87.48</v>
      </c>
    </row>
    <row r="96" spans="1:10" x14ac:dyDescent="0.3">
      <c r="A96" s="2" t="str">
        <f t="shared" si="1"/>
        <v>7</v>
      </c>
      <c r="B96" s="3" t="s">
        <v>28</v>
      </c>
      <c r="C96" s="3" t="s">
        <v>27</v>
      </c>
      <c r="D96" s="3" t="s">
        <v>13</v>
      </c>
      <c r="E96" s="4">
        <v>165.61</v>
      </c>
      <c r="F96" s="4">
        <v>0</v>
      </c>
      <c r="G96" s="4">
        <v>165.61</v>
      </c>
      <c r="H96" s="4">
        <v>0</v>
      </c>
      <c r="I96" s="4">
        <v>21</v>
      </c>
      <c r="J96" s="5">
        <v>7.89</v>
      </c>
    </row>
    <row r="97" spans="1:10" x14ac:dyDescent="0.3">
      <c r="A97" s="2" t="str">
        <f t="shared" si="1"/>
        <v>7</v>
      </c>
      <c r="B97" s="3" t="s">
        <v>28</v>
      </c>
      <c r="C97" s="3" t="s">
        <v>27</v>
      </c>
      <c r="D97" s="3" t="s">
        <v>14</v>
      </c>
      <c r="E97" s="4">
        <v>3217.91</v>
      </c>
      <c r="F97" s="4">
        <v>0</v>
      </c>
      <c r="G97" s="4">
        <v>3217.91</v>
      </c>
      <c r="H97" s="4">
        <v>0.04</v>
      </c>
      <c r="I97" s="4">
        <v>6</v>
      </c>
      <c r="J97" s="5">
        <v>536.32000000000005</v>
      </c>
    </row>
    <row r="98" spans="1:10" x14ac:dyDescent="0.3">
      <c r="A98" s="2" t="str">
        <f t="shared" si="1"/>
        <v>7</v>
      </c>
      <c r="B98" s="3" t="s">
        <v>28</v>
      </c>
      <c r="C98" s="3" t="s">
        <v>27</v>
      </c>
      <c r="D98" s="3" t="s">
        <v>15</v>
      </c>
      <c r="E98" s="4">
        <v>4619.7</v>
      </c>
      <c r="F98" s="4">
        <v>898.02</v>
      </c>
      <c r="G98" s="4">
        <v>3721.68</v>
      </c>
      <c r="H98" s="4">
        <v>0.05</v>
      </c>
      <c r="I98" s="4">
        <v>57</v>
      </c>
      <c r="J98" s="5">
        <v>65.290000000000006</v>
      </c>
    </row>
    <row r="99" spans="1:10" x14ac:dyDescent="0.3">
      <c r="A99" s="2" t="str">
        <f t="shared" si="1"/>
        <v>7</v>
      </c>
      <c r="B99" s="3" t="s">
        <v>28</v>
      </c>
      <c r="C99" s="3" t="s">
        <v>27</v>
      </c>
      <c r="D99" s="3" t="s">
        <v>21</v>
      </c>
      <c r="E99" s="4">
        <v>15.5</v>
      </c>
      <c r="F99" s="4">
        <v>0</v>
      </c>
      <c r="G99" s="4">
        <v>15.5</v>
      </c>
      <c r="H99" s="4">
        <v>0</v>
      </c>
      <c r="I99" s="4">
        <v>1</v>
      </c>
      <c r="J99" s="5">
        <v>15.5</v>
      </c>
    </row>
    <row r="100" spans="1:10" x14ac:dyDescent="0.3">
      <c r="A100" s="2" t="str">
        <f t="shared" si="1"/>
        <v>7</v>
      </c>
      <c r="B100" s="3" t="s">
        <v>28</v>
      </c>
      <c r="C100" s="3" t="s">
        <v>27</v>
      </c>
      <c r="D100" s="3" t="s">
        <v>17</v>
      </c>
      <c r="E100" s="4">
        <v>74.98</v>
      </c>
      <c r="F100" s="4">
        <v>0</v>
      </c>
      <c r="G100" s="4">
        <v>74.98</v>
      </c>
      <c r="H100" s="4">
        <v>0</v>
      </c>
      <c r="I100" s="4">
        <v>1</v>
      </c>
      <c r="J100" s="5">
        <v>74.98</v>
      </c>
    </row>
  </sheetData>
  <autoFilter ref="A1:J2" xr:uid="{E1E89F85-4CA7-4ABF-9034-E58B70AE13C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 POR PAGAMENTO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Marques</dc:creator>
  <cp:lastModifiedBy>Paulo Marques</cp:lastModifiedBy>
  <dcterms:created xsi:type="dcterms:W3CDTF">2026-06-17T04:23:59Z</dcterms:created>
  <dcterms:modified xsi:type="dcterms:W3CDTF">2026-07-22T12:57:33Z</dcterms:modified>
</cp:coreProperties>
</file>