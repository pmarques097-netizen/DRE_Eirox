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VENDA\"/>
    </mc:Choice>
  </mc:AlternateContent>
  <xr:revisionPtr revIDLastSave="0" documentId="8_{938C2FA0-5572-4E79-A6DB-9521DD984F8C}" xr6:coauthVersionLast="47" xr6:coauthVersionMax="47" xr10:uidLastSave="{00000000-0000-0000-0000-000000000000}"/>
  <bookViews>
    <workbookView xWindow="-120" yWindow="-120" windowWidth="29040" windowHeight="15720" xr2:uid="{256E494A-92E1-4818-8C67-991F5C0E7CA9}"/>
  </bookViews>
  <sheets>
    <sheet name="VENDA POR PAG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9" i="1" l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<sst xmlns="http://schemas.openxmlformats.org/spreadsheetml/2006/main" count="186" uniqueCount="26">
  <si>
    <t>unidade</t>
  </si>
  <si>
    <t>Un. Neg.</t>
  </si>
  <si>
    <t>Ano-mês</t>
  </si>
  <si>
    <t>Forma de Pagamento</t>
  </si>
  <si>
    <t>Valor</t>
  </si>
  <si>
    <t>Troco</t>
  </si>
  <si>
    <t>Total</t>
  </si>
  <si>
    <t>% Tot.</t>
  </si>
  <si>
    <t>Qtd. Pagamentos</t>
  </si>
  <si>
    <t>Valor Médio</t>
  </si>
  <si>
    <t>2026-01</t>
  </si>
  <si>
    <t>Cartao</t>
  </si>
  <si>
    <t>Cheque</t>
  </si>
  <si>
    <t>Clube Economize</t>
  </si>
  <si>
    <t>Crediario</t>
  </si>
  <si>
    <t>Dinheiro</t>
  </si>
  <si>
    <t>PBM</t>
  </si>
  <si>
    <t>Vale-Compra</t>
  </si>
  <si>
    <t>2026-02</t>
  </si>
  <si>
    <t>2026-03</t>
  </si>
  <si>
    <t>2026-04</t>
  </si>
  <si>
    <t>LINK</t>
  </si>
  <si>
    <t>2026-05</t>
  </si>
  <si>
    <t>2026-06</t>
  </si>
  <si>
    <t>MyPharma Cartao</t>
  </si>
  <si>
    <t>NAPP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</si>
</sst>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F800]dddd\,\ mmmm\ dd\,\ 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9F85-4CA7-4ABF-9034-E58B70AE13CD}">
  <dimension ref="A1:J89"/>
  <sheetViews>
    <sheetView tabSelected="1" workbookViewId="0"/>
  </sheetViews>
  <sheetFormatPr defaultRowHeight="14.4" x14ac:dyDescent="0.3"/>
  <cols>
    <col min="1" max="1" width="8.88671875" style="1"/>
    <col min="3" max="3" width="8.88671875" style="2"/>
    <col min="4" max="4" width="18.5546875" bestFit="1" customWidth="1"/>
    <col min="5" max="5" width="10" bestFit="1" customWidth="1"/>
    <col min="9" max="9" width="15.109375" bestFit="1" customWidth="1"/>
    <col min="10" max="10" width="11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tr">
        <f>RIGHT(C2,1)</f>
        <v>1</v>
      </c>
      <c r="B2">
        <v>1</v>
      </c>
      <c r="C2" s="3" t="s">
        <v>10</v>
      </c>
      <c r="D2" t="s">
        <v>11</v>
      </c>
      <c r="E2">
        <v>198555.56</v>
      </c>
      <c r="F2">
        <v>0</v>
      </c>
      <c r="G2">
        <v>198555.56</v>
      </c>
      <c r="H2">
        <v>2.91</v>
      </c>
      <c r="I2">
        <v>1869</v>
      </c>
      <c r="J2">
        <v>106.24</v>
      </c>
    </row>
    <row r="3" spans="1:10" x14ac:dyDescent="0.3">
      <c r="A3" s="1" t="str">
        <f t="shared" ref="A3:A66" si="0">RIGHT(C3,1)</f>
        <v>1</v>
      </c>
      <c r="B3">
        <v>1</v>
      </c>
      <c r="C3" s="2" t="s">
        <v>10</v>
      </c>
      <c r="D3" t="s">
        <v>12</v>
      </c>
      <c r="E3">
        <v>620</v>
      </c>
      <c r="F3">
        <v>0</v>
      </c>
      <c r="G3">
        <v>620</v>
      </c>
      <c r="H3">
        <v>0.01</v>
      </c>
      <c r="I3">
        <v>1</v>
      </c>
      <c r="J3">
        <v>620</v>
      </c>
    </row>
    <row r="4" spans="1:10" x14ac:dyDescent="0.3">
      <c r="A4" s="1" t="str">
        <f t="shared" si="0"/>
        <v>1</v>
      </c>
      <c r="B4">
        <v>1</v>
      </c>
      <c r="C4" s="2" t="s">
        <v>10</v>
      </c>
      <c r="D4" t="s">
        <v>13</v>
      </c>
      <c r="E4">
        <v>2382.7199999999998</v>
      </c>
      <c r="F4">
        <v>0</v>
      </c>
      <c r="G4">
        <v>2382.7199999999998</v>
      </c>
      <c r="H4">
        <v>0.03</v>
      </c>
      <c r="I4">
        <v>274</v>
      </c>
      <c r="J4">
        <v>8.6999999999999993</v>
      </c>
    </row>
    <row r="5" spans="1:10" x14ac:dyDescent="0.3">
      <c r="A5" s="1" t="str">
        <f t="shared" si="0"/>
        <v>1</v>
      </c>
      <c r="B5">
        <v>1</v>
      </c>
      <c r="C5" s="2" t="s">
        <v>10</v>
      </c>
      <c r="D5" t="s">
        <v>14</v>
      </c>
      <c r="E5">
        <v>12850.16</v>
      </c>
      <c r="F5">
        <v>0</v>
      </c>
      <c r="G5">
        <v>12850.16</v>
      </c>
      <c r="H5">
        <v>0.19</v>
      </c>
      <c r="I5">
        <v>70</v>
      </c>
      <c r="J5">
        <v>183.57</v>
      </c>
    </row>
    <row r="6" spans="1:10" x14ac:dyDescent="0.3">
      <c r="A6" s="1" t="str">
        <f t="shared" si="0"/>
        <v>1</v>
      </c>
      <c r="B6">
        <v>1</v>
      </c>
      <c r="C6" s="2" t="s">
        <v>10</v>
      </c>
      <c r="D6" t="s">
        <v>15</v>
      </c>
      <c r="E6">
        <v>19037.849999999999</v>
      </c>
      <c r="F6">
        <v>2975.43</v>
      </c>
      <c r="G6">
        <v>16062.42</v>
      </c>
      <c r="H6">
        <v>0.24</v>
      </c>
      <c r="I6">
        <v>287</v>
      </c>
      <c r="J6">
        <v>55.97</v>
      </c>
    </row>
    <row r="7" spans="1:10" x14ac:dyDescent="0.3">
      <c r="A7" s="1" t="str">
        <f t="shared" si="0"/>
        <v>1</v>
      </c>
      <c r="B7">
        <v>1</v>
      </c>
      <c r="C7" s="2" t="s">
        <v>10</v>
      </c>
      <c r="D7" t="s">
        <v>16</v>
      </c>
      <c r="E7">
        <v>1012.82</v>
      </c>
      <c r="F7">
        <v>0</v>
      </c>
      <c r="G7">
        <v>1012.82</v>
      </c>
      <c r="H7">
        <v>0.01</v>
      </c>
      <c r="I7">
        <v>7</v>
      </c>
      <c r="J7">
        <v>144.69</v>
      </c>
    </row>
    <row r="8" spans="1:10" x14ac:dyDescent="0.3">
      <c r="A8" s="1" t="str">
        <f t="shared" si="0"/>
        <v>1</v>
      </c>
      <c r="B8">
        <v>1</v>
      </c>
      <c r="C8" s="2" t="s">
        <v>10</v>
      </c>
      <c r="D8" t="s">
        <v>17</v>
      </c>
      <c r="E8">
        <v>440.05</v>
      </c>
      <c r="F8">
        <v>0</v>
      </c>
      <c r="G8">
        <v>440.05</v>
      </c>
      <c r="H8">
        <v>0.01</v>
      </c>
      <c r="I8">
        <v>6</v>
      </c>
      <c r="J8">
        <v>73.34</v>
      </c>
    </row>
    <row r="9" spans="1:10" x14ac:dyDescent="0.3">
      <c r="A9" s="1" t="str">
        <f t="shared" si="0"/>
        <v>2</v>
      </c>
      <c r="B9">
        <v>1</v>
      </c>
      <c r="C9" s="2" t="s">
        <v>18</v>
      </c>
      <c r="D9" t="s">
        <v>11</v>
      </c>
      <c r="E9">
        <v>188007.13</v>
      </c>
      <c r="F9">
        <v>0</v>
      </c>
      <c r="G9">
        <v>188007.13</v>
      </c>
      <c r="H9">
        <v>2.76</v>
      </c>
      <c r="I9">
        <v>1853</v>
      </c>
      <c r="J9">
        <v>101.46</v>
      </c>
    </row>
    <row r="10" spans="1:10" x14ac:dyDescent="0.3">
      <c r="A10" s="1" t="str">
        <f t="shared" si="0"/>
        <v>2</v>
      </c>
      <c r="B10">
        <v>1</v>
      </c>
      <c r="C10" s="2" t="s">
        <v>18</v>
      </c>
      <c r="D10" t="s">
        <v>13</v>
      </c>
      <c r="E10">
        <v>1656.36</v>
      </c>
      <c r="F10">
        <v>0</v>
      </c>
      <c r="G10">
        <v>1656.36</v>
      </c>
      <c r="H10">
        <v>0.02</v>
      </c>
      <c r="I10">
        <v>225</v>
      </c>
      <c r="J10">
        <v>7.36</v>
      </c>
    </row>
    <row r="11" spans="1:10" x14ac:dyDescent="0.3">
      <c r="A11" s="1" t="str">
        <f t="shared" si="0"/>
        <v>2</v>
      </c>
      <c r="B11">
        <v>1</v>
      </c>
      <c r="C11" s="2" t="s">
        <v>18</v>
      </c>
      <c r="D11" t="s">
        <v>14</v>
      </c>
      <c r="E11">
        <v>16229.8</v>
      </c>
      <c r="F11">
        <v>0</v>
      </c>
      <c r="G11">
        <v>16229.8</v>
      </c>
      <c r="H11">
        <v>0.24</v>
      </c>
      <c r="I11">
        <v>88</v>
      </c>
      <c r="J11">
        <v>184.43</v>
      </c>
    </row>
    <row r="12" spans="1:10" x14ac:dyDescent="0.3">
      <c r="A12" s="1" t="str">
        <f t="shared" si="0"/>
        <v>2</v>
      </c>
      <c r="B12">
        <v>1</v>
      </c>
      <c r="C12" s="2" t="s">
        <v>18</v>
      </c>
      <c r="D12" t="s">
        <v>15</v>
      </c>
      <c r="E12">
        <v>25614.03</v>
      </c>
      <c r="F12">
        <v>3962.21</v>
      </c>
      <c r="G12">
        <v>21651.82</v>
      </c>
      <c r="H12">
        <v>0.32</v>
      </c>
      <c r="I12">
        <v>323</v>
      </c>
      <c r="J12">
        <v>67.03</v>
      </c>
    </row>
    <row r="13" spans="1:10" x14ac:dyDescent="0.3">
      <c r="A13" s="1" t="str">
        <f t="shared" si="0"/>
        <v>2</v>
      </c>
      <c r="B13">
        <v>1</v>
      </c>
      <c r="C13" s="2" t="s">
        <v>18</v>
      </c>
      <c r="D13" t="s">
        <v>16</v>
      </c>
      <c r="E13">
        <v>1419.26</v>
      </c>
      <c r="F13">
        <v>0</v>
      </c>
      <c r="G13">
        <v>1419.26</v>
      </c>
      <c r="H13">
        <v>0.02</v>
      </c>
      <c r="I13">
        <v>11</v>
      </c>
      <c r="J13">
        <v>129.02000000000001</v>
      </c>
    </row>
    <row r="14" spans="1:10" x14ac:dyDescent="0.3">
      <c r="A14" s="1" t="str">
        <f t="shared" si="0"/>
        <v>2</v>
      </c>
      <c r="B14">
        <v>1</v>
      </c>
      <c r="C14" s="2" t="s">
        <v>18</v>
      </c>
      <c r="D14" t="s">
        <v>17</v>
      </c>
      <c r="E14">
        <v>334.82</v>
      </c>
      <c r="F14">
        <v>0</v>
      </c>
      <c r="G14">
        <v>334.82</v>
      </c>
      <c r="H14">
        <v>0</v>
      </c>
      <c r="I14">
        <v>5</v>
      </c>
      <c r="J14">
        <v>66.959999999999994</v>
      </c>
    </row>
    <row r="15" spans="1:10" x14ac:dyDescent="0.3">
      <c r="A15" s="1" t="str">
        <f t="shared" si="0"/>
        <v>3</v>
      </c>
      <c r="B15">
        <v>1</v>
      </c>
      <c r="C15" s="2" t="s">
        <v>19</v>
      </c>
      <c r="D15" t="s">
        <v>11</v>
      </c>
      <c r="E15">
        <v>283995.59000000003</v>
      </c>
      <c r="F15">
        <v>0</v>
      </c>
      <c r="G15">
        <v>283995.59000000003</v>
      </c>
      <c r="H15">
        <v>4.17</v>
      </c>
      <c r="I15">
        <v>3006</v>
      </c>
      <c r="J15">
        <v>94.48</v>
      </c>
    </row>
    <row r="16" spans="1:10" x14ac:dyDescent="0.3">
      <c r="A16" s="1" t="str">
        <f t="shared" si="0"/>
        <v>3</v>
      </c>
      <c r="B16">
        <v>1</v>
      </c>
      <c r="C16" s="2" t="s">
        <v>19</v>
      </c>
      <c r="D16" t="s">
        <v>12</v>
      </c>
      <c r="E16">
        <v>430</v>
      </c>
      <c r="F16">
        <v>0</v>
      </c>
      <c r="G16">
        <v>430</v>
      </c>
      <c r="H16">
        <v>0.01</v>
      </c>
      <c r="I16">
        <v>1</v>
      </c>
      <c r="J16">
        <v>430</v>
      </c>
    </row>
    <row r="17" spans="1:10" x14ac:dyDescent="0.3">
      <c r="A17" s="1" t="str">
        <f t="shared" si="0"/>
        <v>3</v>
      </c>
      <c r="B17">
        <v>1</v>
      </c>
      <c r="C17" s="2" t="s">
        <v>19</v>
      </c>
      <c r="D17" t="s">
        <v>13</v>
      </c>
      <c r="E17">
        <v>2646.95</v>
      </c>
      <c r="F17">
        <v>0</v>
      </c>
      <c r="G17">
        <v>2646.95</v>
      </c>
      <c r="H17">
        <v>0.04</v>
      </c>
      <c r="I17">
        <v>360</v>
      </c>
      <c r="J17">
        <v>7.35</v>
      </c>
    </row>
    <row r="18" spans="1:10" x14ac:dyDescent="0.3">
      <c r="A18" s="1" t="str">
        <f t="shared" si="0"/>
        <v>3</v>
      </c>
      <c r="B18">
        <v>1</v>
      </c>
      <c r="C18" s="2" t="s">
        <v>19</v>
      </c>
      <c r="D18" t="s">
        <v>14</v>
      </c>
      <c r="E18">
        <v>21465.99</v>
      </c>
      <c r="F18">
        <v>0</v>
      </c>
      <c r="G18">
        <v>21465.99</v>
      </c>
      <c r="H18">
        <v>0.31</v>
      </c>
      <c r="I18">
        <v>149</v>
      </c>
      <c r="J18">
        <v>144.07</v>
      </c>
    </row>
    <row r="19" spans="1:10" x14ac:dyDescent="0.3">
      <c r="A19" s="1" t="str">
        <f t="shared" si="0"/>
        <v>3</v>
      </c>
      <c r="B19">
        <v>1</v>
      </c>
      <c r="C19" s="2" t="s">
        <v>19</v>
      </c>
      <c r="D19" t="s">
        <v>15</v>
      </c>
      <c r="E19">
        <v>31571.62</v>
      </c>
      <c r="F19">
        <v>5642.6</v>
      </c>
      <c r="G19">
        <v>25929.02</v>
      </c>
      <c r="H19">
        <v>0.38</v>
      </c>
      <c r="I19">
        <v>446</v>
      </c>
      <c r="J19">
        <v>58.14</v>
      </c>
    </row>
    <row r="20" spans="1:10" x14ac:dyDescent="0.3">
      <c r="A20" s="1" t="str">
        <f t="shared" si="0"/>
        <v>3</v>
      </c>
      <c r="B20">
        <v>1</v>
      </c>
      <c r="C20" s="2" t="s">
        <v>19</v>
      </c>
      <c r="D20" t="s">
        <v>16</v>
      </c>
      <c r="E20">
        <v>1795.51</v>
      </c>
      <c r="F20">
        <v>0</v>
      </c>
      <c r="G20">
        <v>1795.51</v>
      </c>
      <c r="H20">
        <v>0.03</v>
      </c>
      <c r="I20">
        <v>14</v>
      </c>
      <c r="J20">
        <v>128.25</v>
      </c>
    </row>
    <row r="21" spans="1:10" x14ac:dyDescent="0.3">
      <c r="A21" s="1" t="str">
        <f t="shared" si="0"/>
        <v>3</v>
      </c>
      <c r="B21">
        <v>1</v>
      </c>
      <c r="C21" s="2" t="s">
        <v>19</v>
      </c>
      <c r="D21" t="s">
        <v>17</v>
      </c>
      <c r="E21">
        <v>890.63</v>
      </c>
      <c r="F21">
        <v>0</v>
      </c>
      <c r="G21">
        <v>890.63</v>
      </c>
      <c r="H21">
        <v>0.01</v>
      </c>
      <c r="I21">
        <v>15</v>
      </c>
      <c r="J21">
        <v>59.38</v>
      </c>
    </row>
    <row r="22" spans="1:10" x14ac:dyDescent="0.3">
      <c r="A22" s="1" t="str">
        <f t="shared" si="0"/>
        <v>4</v>
      </c>
      <c r="B22">
        <v>1</v>
      </c>
      <c r="C22" s="2" t="s">
        <v>20</v>
      </c>
      <c r="D22" t="s">
        <v>11</v>
      </c>
      <c r="E22">
        <v>343384.4</v>
      </c>
      <c r="F22">
        <v>0</v>
      </c>
      <c r="G22">
        <v>343384.4</v>
      </c>
      <c r="H22">
        <v>5.04</v>
      </c>
      <c r="I22">
        <v>3805</v>
      </c>
      <c r="J22">
        <v>90.25</v>
      </c>
    </row>
    <row r="23" spans="1:10" x14ac:dyDescent="0.3">
      <c r="A23" s="1" t="str">
        <f t="shared" si="0"/>
        <v>4</v>
      </c>
      <c r="B23">
        <v>1</v>
      </c>
      <c r="C23" s="2" t="s">
        <v>20</v>
      </c>
      <c r="D23" t="s">
        <v>12</v>
      </c>
      <c r="E23">
        <v>598</v>
      </c>
      <c r="F23">
        <v>0</v>
      </c>
      <c r="G23">
        <v>598</v>
      </c>
      <c r="H23">
        <v>0.01</v>
      </c>
      <c r="I23">
        <v>1</v>
      </c>
      <c r="J23">
        <v>598</v>
      </c>
    </row>
    <row r="24" spans="1:10" x14ac:dyDescent="0.3">
      <c r="A24" s="1" t="str">
        <f t="shared" si="0"/>
        <v>4</v>
      </c>
      <c r="B24">
        <v>1</v>
      </c>
      <c r="C24" s="2" t="s">
        <v>20</v>
      </c>
      <c r="D24" t="s">
        <v>13</v>
      </c>
      <c r="E24">
        <v>2728.96</v>
      </c>
      <c r="F24">
        <v>0</v>
      </c>
      <c r="G24">
        <v>2728.96</v>
      </c>
      <c r="H24">
        <v>0.04</v>
      </c>
      <c r="I24">
        <v>384</v>
      </c>
      <c r="J24">
        <v>7.11</v>
      </c>
    </row>
    <row r="25" spans="1:10" x14ac:dyDescent="0.3">
      <c r="A25" s="1" t="str">
        <f t="shared" si="0"/>
        <v>4</v>
      </c>
      <c r="B25">
        <v>1</v>
      </c>
      <c r="C25" s="2" t="s">
        <v>20</v>
      </c>
      <c r="D25" t="s">
        <v>14</v>
      </c>
      <c r="E25">
        <v>34553.620000000003</v>
      </c>
      <c r="F25">
        <v>0</v>
      </c>
      <c r="G25">
        <v>34553.620000000003</v>
      </c>
      <c r="H25">
        <v>0.51</v>
      </c>
      <c r="I25">
        <v>202</v>
      </c>
      <c r="J25">
        <v>171.06</v>
      </c>
    </row>
    <row r="26" spans="1:10" x14ac:dyDescent="0.3">
      <c r="A26" s="1" t="str">
        <f t="shared" si="0"/>
        <v>4</v>
      </c>
      <c r="B26">
        <v>1</v>
      </c>
      <c r="C26" s="2" t="s">
        <v>20</v>
      </c>
      <c r="D26" t="s">
        <v>15</v>
      </c>
      <c r="E26">
        <v>39334.870000000003</v>
      </c>
      <c r="F26">
        <v>6324.43</v>
      </c>
      <c r="G26">
        <v>33010.44</v>
      </c>
      <c r="H26">
        <v>0.48</v>
      </c>
      <c r="I26">
        <v>524</v>
      </c>
      <c r="J26">
        <v>63</v>
      </c>
    </row>
    <row r="27" spans="1:10" x14ac:dyDescent="0.3">
      <c r="A27" s="1" t="str">
        <f t="shared" si="0"/>
        <v>4</v>
      </c>
      <c r="B27">
        <v>1</v>
      </c>
      <c r="C27" s="2" t="s">
        <v>20</v>
      </c>
      <c r="D27" t="s">
        <v>21</v>
      </c>
      <c r="E27">
        <v>364.52</v>
      </c>
      <c r="F27">
        <v>0</v>
      </c>
      <c r="G27">
        <v>364.52</v>
      </c>
      <c r="H27">
        <v>0.01</v>
      </c>
      <c r="I27">
        <v>4</v>
      </c>
      <c r="J27">
        <v>91.13</v>
      </c>
    </row>
    <row r="28" spans="1:10" x14ac:dyDescent="0.3">
      <c r="A28" s="1" t="str">
        <f t="shared" si="0"/>
        <v>4</v>
      </c>
      <c r="B28">
        <v>1</v>
      </c>
      <c r="C28" s="2" t="s">
        <v>20</v>
      </c>
      <c r="D28" t="s">
        <v>16</v>
      </c>
      <c r="E28">
        <v>2684.42</v>
      </c>
      <c r="F28">
        <v>0</v>
      </c>
      <c r="G28">
        <v>2684.42</v>
      </c>
      <c r="H28">
        <v>0.04</v>
      </c>
      <c r="I28">
        <v>18</v>
      </c>
      <c r="J28">
        <v>149.13</v>
      </c>
    </row>
    <row r="29" spans="1:10" x14ac:dyDescent="0.3">
      <c r="A29" s="1" t="str">
        <f t="shared" si="0"/>
        <v>4</v>
      </c>
      <c r="B29">
        <v>1</v>
      </c>
      <c r="C29" s="2" t="s">
        <v>20</v>
      </c>
      <c r="D29" t="s">
        <v>17</v>
      </c>
      <c r="E29">
        <v>1087.73</v>
      </c>
      <c r="F29">
        <v>0</v>
      </c>
      <c r="G29">
        <v>1087.73</v>
      </c>
      <c r="H29">
        <v>0.02</v>
      </c>
      <c r="I29">
        <v>20</v>
      </c>
      <c r="J29">
        <v>54.39</v>
      </c>
    </row>
    <row r="30" spans="1:10" x14ac:dyDescent="0.3">
      <c r="A30" s="1" t="str">
        <f t="shared" si="0"/>
        <v>5</v>
      </c>
      <c r="B30">
        <v>1</v>
      </c>
      <c r="C30" s="2" t="s">
        <v>22</v>
      </c>
      <c r="D30" t="s">
        <v>11</v>
      </c>
      <c r="E30">
        <v>383740.42</v>
      </c>
      <c r="F30">
        <v>0</v>
      </c>
      <c r="G30">
        <v>383740.42</v>
      </c>
      <c r="H30">
        <v>5.63</v>
      </c>
      <c r="I30">
        <v>4258</v>
      </c>
      <c r="J30">
        <v>90.12</v>
      </c>
    </row>
    <row r="31" spans="1:10" x14ac:dyDescent="0.3">
      <c r="A31" s="1" t="str">
        <f t="shared" si="0"/>
        <v>5</v>
      </c>
      <c r="B31">
        <v>1</v>
      </c>
      <c r="C31" s="2" t="s">
        <v>22</v>
      </c>
      <c r="D31" t="s">
        <v>13</v>
      </c>
      <c r="E31">
        <v>3327.56</v>
      </c>
      <c r="F31">
        <v>0</v>
      </c>
      <c r="G31">
        <v>3327.56</v>
      </c>
      <c r="H31">
        <v>0.05</v>
      </c>
      <c r="I31">
        <v>429</v>
      </c>
      <c r="J31">
        <v>7.76</v>
      </c>
    </row>
    <row r="32" spans="1:10" x14ac:dyDescent="0.3">
      <c r="A32" s="1" t="str">
        <f t="shared" si="0"/>
        <v>5</v>
      </c>
      <c r="B32">
        <v>1</v>
      </c>
      <c r="C32" s="2" t="s">
        <v>22</v>
      </c>
      <c r="D32" t="s">
        <v>14</v>
      </c>
      <c r="E32">
        <v>32196.400000000001</v>
      </c>
      <c r="F32">
        <v>0</v>
      </c>
      <c r="G32">
        <v>32196.400000000001</v>
      </c>
      <c r="H32">
        <v>0.47</v>
      </c>
      <c r="I32">
        <v>209</v>
      </c>
      <c r="J32">
        <v>154.05000000000001</v>
      </c>
    </row>
    <row r="33" spans="1:10" x14ac:dyDescent="0.3">
      <c r="A33" s="1" t="str">
        <f t="shared" si="0"/>
        <v>5</v>
      </c>
      <c r="B33">
        <v>1</v>
      </c>
      <c r="C33" s="2" t="s">
        <v>22</v>
      </c>
      <c r="D33" t="s">
        <v>15</v>
      </c>
      <c r="E33">
        <v>49035.51</v>
      </c>
      <c r="F33">
        <v>8001.18</v>
      </c>
      <c r="G33">
        <v>41034.33</v>
      </c>
      <c r="H33">
        <v>0.6</v>
      </c>
      <c r="I33">
        <v>595</v>
      </c>
      <c r="J33">
        <v>68.97</v>
      </c>
    </row>
    <row r="34" spans="1:10" x14ac:dyDescent="0.3">
      <c r="A34" s="1" t="str">
        <f t="shared" si="0"/>
        <v>5</v>
      </c>
      <c r="B34">
        <v>1</v>
      </c>
      <c r="C34" s="2" t="s">
        <v>22</v>
      </c>
      <c r="D34" t="s">
        <v>21</v>
      </c>
      <c r="E34">
        <v>331.39</v>
      </c>
      <c r="F34">
        <v>0</v>
      </c>
      <c r="G34">
        <v>331.39</v>
      </c>
      <c r="H34">
        <v>0</v>
      </c>
      <c r="I34">
        <v>1</v>
      </c>
      <c r="J34">
        <v>331.39</v>
      </c>
    </row>
    <row r="35" spans="1:10" x14ac:dyDescent="0.3">
      <c r="A35" s="1" t="str">
        <f t="shared" si="0"/>
        <v>5</v>
      </c>
      <c r="B35">
        <v>1</v>
      </c>
      <c r="C35" s="2" t="s">
        <v>22</v>
      </c>
      <c r="D35" t="s">
        <v>16</v>
      </c>
      <c r="E35">
        <v>4133.7</v>
      </c>
      <c r="F35">
        <v>0</v>
      </c>
      <c r="G35">
        <v>4133.7</v>
      </c>
      <c r="H35">
        <v>0.06</v>
      </c>
      <c r="I35">
        <v>28</v>
      </c>
      <c r="J35">
        <v>147.63</v>
      </c>
    </row>
    <row r="36" spans="1:10" x14ac:dyDescent="0.3">
      <c r="A36" s="1" t="str">
        <f t="shared" si="0"/>
        <v>5</v>
      </c>
      <c r="B36">
        <v>1</v>
      </c>
      <c r="C36" s="2" t="s">
        <v>22</v>
      </c>
      <c r="D36" t="s">
        <v>17</v>
      </c>
      <c r="E36">
        <v>1766.32</v>
      </c>
      <c r="F36">
        <v>0</v>
      </c>
      <c r="G36">
        <v>1766.32</v>
      </c>
      <c r="H36">
        <v>0.03</v>
      </c>
      <c r="I36">
        <v>32</v>
      </c>
      <c r="J36">
        <v>55.2</v>
      </c>
    </row>
    <row r="37" spans="1:10" x14ac:dyDescent="0.3">
      <c r="A37" s="1" t="str">
        <f t="shared" si="0"/>
        <v>6</v>
      </c>
      <c r="B37">
        <v>1</v>
      </c>
      <c r="C37" s="2" t="s">
        <v>23</v>
      </c>
      <c r="D37" t="s">
        <v>11</v>
      </c>
      <c r="E37">
        <v>226206.44</v>
      </c>
      <c r="F37">
        <v>0</v>
      </c>
      <c r="G37">
        <v>226206.44</v>
      </c>
      <c r="H37">
        <v>3.32</v>
      </c>
      <c r="I37">
        <v>2319</v>
      </c>
      <c r="J37">
        <v>97.54</v>
      </c>
    </row>
    <row r="38" spans="1:10" x14ac:dyDescent="0.3">
      <c r="A38" s="1" t="str">
        <f t="shared" si="0"/>
        <v>6</v>
      </c>
      <c r="B38">
        <v>1</v>
      </c>
      <c r="C38" s="2" t="s">
        <v>23</v>
      </c>
      <c r="D38" t="s">
        <v>13</v>
      </c>
      <c r="E38">
        <v>1539.8</v>
      </c>
      <c r="F38">
        <v>0</v>
      </c>
      <c r="G38">
        <v>1539.8</v>
      </c>
      <c r="H38">
        <v>0.02</v>
      </c>
      <c r="I38">
        <v>180</v>
      </c>
      <c r="J38">
        <v>8.5500000000000007</v>
      </c>
    </row>
    <row r="39" spans="1:10" x14ac:dyDescent="0.3">
      <c r="A39" s="1" t="str">
        <f t="shared" si="0"/>
        <v>6</v>
      </c>
      <c r="B39">
        <v>1</v>
      </c>
      <c r="C39" s="2" t="s">
        <v>23</v>
      </c>
      <c r="D39" t="s">
        <v>14</v>
      </c>
      <c r="E39">
        <v>23511.82</v>
      </c>
      <c r="F39">
        <v>0</v>
      </c>
      <c r="G39">
        <v>23511.82</v>
      </c>
      <c r="H39">
        <v>0.34</v>
      </c>
      <c r="I39">
        <v>129</v>
      </c>
      <c r="J39">
        <v>182.26</v>
      </c>
    </row>
    <row r="40" spans="1:10" x14ac:dyDescent="0.3">
      <c r="A40" s="1" t="str">
        <f t="shared" si="0"/>
        <v>6</v>
      </c>
      <c r="B40">
        <v>1</v>
      </c>
      <c r="C40" s="2" t="s">
        <v>23</v>
      </c>
      <c r="D40" t="s">
        <v>15</v>
      </c>
      <c r="E40">
        <v>28450.49</v>
      </c>
      <c r="F40">
        <v>5165.07</v>
      </c>
      <c r="G40">
        <v>23285.42</v>
      </c>
      <c r="H40">
        <v>0.34</v>
      </c>
      <c r="I40">
        <v>370</v>
      </c>
      <c r="J40">
        <v>62.93</v>
      </c>
    </row>
    <row r="41" spans="1:10" x14ac:dyDescent="0.3">
      <c r="A41" s="1" t="str">
        <f t="shared" si="0"/>
        <v>6</v>
      </c>
      <c r="B41">
        <v>1</v>
      </c>
      <c r="C41" s="2" t="s">
        <v>23</v>
      </c>
      <c r="D41" t="s">
        <v>16</v>
      </c>
      <c r="E41">
        <v>2308.42</v>
      </c>
      <c r="F41">
        <v>0</v>
      </c>
      <c r="G41">
        <v>2308.42</v>
      </c>
      <c r="H41">
        <v>0.03</v>
      </c>
      <c r="I41">
        <v>21</v>
      </c>
      <c r="J41">
        <v>109.92</v>
      </c>
    </row>
    <row r="42" spans="1:10" x14ac:dyDescent="0.3">
      <c r="A42" s="1" t="str">
        <f t="shared" si="0"/>
        <v>6</v>
      </c>
      <c r="B42">
        <v>1</v>
      </c>
      <c r="C42" s="2" t="s">
        <v>23</v>
      </c>
      <c r="D42" t="s">
        <v>17</v>
      </c>
      <c r="E42">
        <v>537.27</v>
      </c>
      <c r="F42">
        <v>0</v>
      </c>
      <c r="G42">
        <v>537.27</v>
      </c>
      <c r="H42">
        <v>0.01</v>
      </c>
      <c r="I42">
        <v>12</v>
      </c>
      <c r="J42">
        <v>44.77</v>
      </c>
    </row>
    <row r="43" spans="1:10" x14ac:dyDescent="0.3">
      <c r="A43" s="1" t="str">
        <f t="shared" si="0"/>
        <v>1</v>
      </c>
      <c r="B43">
        <v>3</v>
      </c>
      <c r="C43" s="2" t="s">
        <v>10</v>
      </c>
      <c r="D43" t="s">
        <v>11</v>
      </c>
      <c r="E43">
        <v>671822.09</v>
      </c>
      <c r="F43">
        <v>0</v>
      </c>
      <c r="G43">
        <v>671822.09</v>
      </c>
      <c r="H43">
        <v>9.85</v>
      </c>
      <c r="I43">
        <v>8200</v>
      </c>
      <c r="J43">
        <v>81.93</v>
      </c>
    </row>
    <row r="44" spans="1:10" x14ac:dyDescent="0.3">
      <c r="A44" s="1" t="str">
        <f t="shared" si="0"/>
        <v>1</v>
      </c>
      <c r="B44">
        <v>3</v>
      </c>
      <c r="C44" s="2" t="s">
        <v>10</v>
      </c>
      <c r="D44" t="s">
        <v>13</v>
      </c>
      <c r="E44">
        <v>3850.77</v>
      </c>
      <c r="F44">
        <v>0</v>
      </c>
      <c r="G44">
        <v>3850.77</v>
      </c>
      <c r="H44">
        <v>0.06</v>
      </c>
      <c r="I44">
        <v>494</v>
      </c>
      <c r="J44">
        <v>7.8</v>
      </c>
    </row>
    <row r="45" spans="1:10" x14ac:dyDescent="0.3">
      <c r="A45" s="1" t="str">
        <f t="shared" si="0"/>
        <v>1</v>
      </c>
      <c r="B45">
        <v>3</v>
      </c>
      <c r="C45" s="2" t="s">
        <v>10</v>
      </c>
      <c r="D45" t="s">
        <v>14</v>
      </c>
      <c r="E45">
        <v>37711.269999999997</v>
      </c>
      <c r="F45">
        <v>0</v>
      </c>
      <c r="G45">
        <v>37711.269999999997</v>
      </c>
      <c r="H45">
        <v>0.55000000000000004</v>
      </c>
      <c r="I45">
        <v>329</v>
      </c>
      <c r="J45">
        <v>114.62</v>
      </c>
    </row>
    <row r="46" spans="1:10" x14ac:dyDescent="0.3">
      <c r="A46" s="1" t="str">
        <f t="shared" si="0"/>
        <v>1</v>
      </c>
      <c r="B46">
        <v>3</v>
      </c>
      <c r="C46" s="2" t="s">
        <v>10</v>
      </c>
      <c r="D46" t="s">
        <v>15</v>
      </c>
      <c r="E46">
        <v>92819.14</v>
      </c>
      <c r="F46">
        <v>22517.61</v>
      </c>
      <c r="G46">
        <v>70301.53</v>
      </c>
      <c r="H46">
        <v>1.03</v>
      </c>
      <c r="I46">
        <v>1456</v>
      </c>
      <c r="J46">
        <v>48.28</v>
      </c>
    </row>
    <row r="47" spans="1:10" x14ac:dyDescent="0.3">
      <c r="A47" s="1" t="str">
        <f t="shared" si="0"/>
        <v>1</v>
      </c>
      <c r="B47">
        <v>3</v>
      </c>
      <c r="C47" s="2" t="s">
        <v>10</v>
      </c>
      <c r="D47" t="s">
        <v>21</v>
      </c>
      <c r="E47">
        <v>441.04</v>
      </c>
      <c r="F47">
        <v>0</v>
      </c>
      <c r="G47">
        <v>441.04</v>
      </c>
      <c r="H47">
        <v>0.01</v>
      </c>
      <c r="I47">
        <v>1</v>
      </c>
      <c r="J47">
        <v>441.04</v>
      </c>
    </row>
    <row r="48" spans="1:10" x14ac:dyDescent="0.3">
      <c r="A48" s="1" t="str">
        <f t="shared" si="0"/>
        <v>1</v>
      </c>
      <c r="B48">
        <v>3</v>
      </c>
      <c r="C48" s="2" t="s">
        <v>10</v>
      </c>
      <c r="D48" t="s">
        <v>16</v>
      </c>
      <c r="E48">
        <v>3525.22</v>
      </c>
      <c r="F48">
        <v>0</v>
      </c>
      <c r="G48">
        <v>3525.22</v>
      </c>
      <c r="H48">
        <v>0.05</v>
      </c>
      <c r="I48">
        <v>36</v>
      </c>
      <c r="J48">
        <v>97.92</v>
      </c>
    </row>
    <row r="49" spans="1:10" x14ac:dyDescent="0.3">
      <c r="A49" s="1" t="str">
        <f t="shared" si="0"/>
        <v>1</v>
      </c>
      <c r="B49">
        <v>3</v>
      </c>
      <c r="C49" s="2" t="s">
        <v>10</v>
      </c>
      <c r="D49" t="s">
        <v>17</v>
      </c>
      <c r="E49">
        <v>1644.48</v>
      </c>
      <c r="F49">
        <v>0</v>
      </c>
      <c r="G49">
        <v>1644.48</v>
      </c>
      <c r="H49">
        <v>0.02</v>
      </c>
      <c r="I49">
        <v>25</v>
      </c>
      <c r="J49">
        <v>65.78</v>
      </c>
    </row>
    <row r="50" spans="1:10" x14ac:dyDescent="0.3">
      <c r="A50" s="1" t="str">
        <f t="shared" si="0"/>
        <v>2</v>
      </c>
      <c r="B50">
        <v>3</v>
      </c>
      <c r="C50" s="2" t="s">
        <v>18</v>
      </c>
      <c r="D50" t="s">
        <v>11</v>
      </c>
      <c r="E50">
        <v>696608.67</v>
      </c>
      <c r="F50">
        <v>0</v>
      </c>
      <c r="G50">
        <v>696608.67</v>
      </c>
      <c r="H50">
        <v>10.220000000000001</v>
      </c>
      <c r="I50">
        <v>8125</v>
      </c>
      <c r="J50">
        <v>85.74</v>
      </c>
    </row>
    <row r="51" spans="1:10" x14ac:dyDescent="0.3">
      <c r="A51" s="1" t="str">
        <f t="shared" si="0"/>
        <v>2</v>
      </c>
      <c r="B51">
        <v>3</v>
      </c>
      <c r="C51" s="2" t="s">
        <v>18</v>
      </c>
      <c r="D51" t="s">
        <v>13</v>
      </c>
      <c r="E51">
        <v>3671.18</v>
      </c>
      <c r="F51">
        <v>0</v>
      </c>
      <c r="G51">
        <v>3671.18</v>
      </c>
      <c r="H51">
        <v>0.05</v>
      </c>
      <c r="I51">
        <v>512</v>
      </c>
      <c r="J51">
        <v>7.17</v>
      </c>
    </row>
    <row r="52" spans="1:10" x14ac:dyDescent="0.3">
      <c r="A52" s="1" t="str">
        <f t="shared" si="0"/>
        <v>2</v>
      </c>
      <c r="B52">
        <v>3</v>
      </c>
      <c r="C52" s="2" t="s">
        <v>18</v>
      </c>
      <c r="D52" t="s">
        <v>14</v>
      </c>
      <c r="E52">
        <v>40296.81</v>
      </c>
      <c r="F52">
        <v>0</v>
      </c>
      <c r="G52">
        <v>40296.81</v>
      </c>
      <c r="H52">
        <v>0.59</v>
      </c>
      <c r="I52">
        <v>300</v>
      </c>
      <c r="J52">
        <v>134.32</v>
      </c>
    </row>
    <row r="53" spans="1:10" x14ac:dyDescent="0.3">
      <c r="A53" s="1" t="str">
        <f t="shared" si="0"/>
        <v>2</v>
      </c>
      <c r="B53">
        <v>3</v>
      </c>
      <c r="C53" s="2" t="s">
        <v>18</v>
      </c>
      <c r="D53" t="s">
        <v>15</v>
      </c>
      <c r="E53">
        <v>94363.72</v>
      </c>
      <c r="F53">
        <v>22470.02</v>
      </c>
      <c r="G53">
        <v>71893.7</v>
      </c>
      <c r="H53">
        <v>1.05</v>
      </c>
      <c r="I53">
        <v>1396</v>
      </c>
      <c r="J53">
        <v>51.5</v>
      </c>
    </row>
    <row r="54" spans="1:10" x14ac:dyDescent="0.3">
      <c r="A54" s="1" t="str">
        <f t="shared" si="0"/>
        <v>2</v>
      </c>
      <c r="B54">
        <v>3</v>
      </c>
      <c r="C54" s="2" t="s">
        <v>18</v>
      </c>
      <c r="D54" t="s">
        <v>24</v>
      </c>
      <c r="E54">
        <v>55.96</v>
      </c>
      <c r="F54">
        <v>0</v>
      </c>
      <c r="G54">
        <v>55.96</v>
      </c>
      <c r="H54">
        <v>0</v>
      </c>
      <c r="I54">
        <v>1</v>
      </c>
      <c r="J54">
        <v>55.96</v>
      </c>
    </row>
    <row r="55" spans="1:10" x14ac:dyDescent="0.3">
      <c r="A55" s="1" t="str">
        <f t="shared" si="0"/>
        <v>2</v>
      </c>
      <c r="B55">
        <v>3</v>
      </c>
      <c r="C55" s="2" t="s">
        <v>18</v>
      </c>
      <c r="D55" t="s">
        <v>16</v>
      </c>
      <c r="E55">
        <v>2943</v>
      </c>
      <c r="F55">
        <v>0</v>
      </c>
      <c r="G55">
        <v>2943</v>
      </c>
      <c r="H55">
        <v>0.04</v>
      </c>
      <c r="I55">
        <v>28</v>
      </c>
      <c r="J55">
        <v>105.11</v>
      </c>
    </row>
    <row r="56" spans="1:10" x14ac:dyDescent="0.3">
      <c r="A56" s="1" t="str">
        <f t="shared" si="0"/>
        <v>2</v>
      </c>
      <c r="B56">
        <v>3</v>
      </c>
      <c r="C56" s="2" t="s">
        <v>18</v>
      </c>
      <c r="D56" t="s">
        <v>17</v>
      </c>
      <c r="E56">
        <v>2455.25</v>
      </c>
      <c r="F56">
        <v>0</v>
      </c>
      <c r="G56">
        <v>2455.25</v>
      </c>
      <c r="H56">
        <v>0.04</v>
      </c>
      <c r="I56">
        <v>39</v>
      </c>
      <c r="J56">
        <v>62.96</v>
      </c>
    </row>
    <row r="57" spans="1:10" x14ac:dyDescent="0.3">
      <c r="A57" s="1" t="str">
        <f t="shared" si="0"/>
        <v>3</v>
      </c>
      <c r="B57">
        <v>3</v>
      </c>
      <c r="C57" s="2" t="s">
        <v>19</v>
      </c>
      <c r="D57" t="s">
        <v>11</v>
      </c>
      <c r="E57">
        <v>849305.14</v>
      </c>
      <c r="F57">
        <v>0</v>
      </c>
      <c r="G57">
        <v>849305.14</v>
      </c>
      <c r="H57">
        <v>12.46</v>
      </c>
      <c r="I57">
        <v>9662</v>
      </c>
      <c r="J57">
        <v>87.9</v>
      </c>
    </row>
    <row r="58" spans="1:10" x14ac:dyDescent="0.3">
      <c r="A58" s="1" t="str">
        <f t="shared" si="0"/>
        <v>3</v>
      </c>
      <c r="B58">
        <v>3</v>
      </c>
      <c r="C58" s="2" t="s">
        <v>19</v>
      </c>
      <c r="D58" t="s">
        <v>13</v>
      </c>
      <c r="E58">
        <v>4621.12</v>
      </c>
      <c r="F58">
        <v>0</v>
      </c>
      <c r="G58">
        <v>4621.12</v>
      </c>
      <c r="H58">
        <v>7.0000000000000007E-2</v>
      </c>
      <c r="I58">
        <v>650</v>
      </c>
      <c r="J58">
        <v>7.11</v>
      </c>
    </row>
    <row r="59" spans="1:10" x14ac:dyDescent="0.3">
      <c r="A59" s="1" t="str">
        <f t="shared" si="0"/>
        <v>3</v>
      </c>
      <c r="B59">
        <v>3</v>
      </c>
      <c r="C59" s="2" t="s">
        <v>19</v>
      </c>
      <c r="D59" t="s">
        <v>14</v>
      </c>
      <c r="E59">
        <v>55641.3</v>
      </c>
      <c r="F59">
        <v>0</v>
      </c>
      <c r="G59">
        <v>55641.3</v>
      </c>
      <c r="H59">
        <v>0.82</v>
      </c>
      <c r="I59">
        <v>370</v>
      </c>
      <c r="J59">
        <v>150.38</v>
      </c>
    </row>
    <row r="60" spans="1:10" x14ac:dyDescent="0.3">
      <c r="A60" s="1" t="str">
        <f t="shared" si="0"/>
        <v>3</v>
      </c>
      <c r="B60">
        <v>3</v>
      </c>
      <c r="C60" s="2" t="s">
        <v>19</v>
      </c>
      <c r="D60" t="s">
        <v>15</v>
      </c>
      <c r="E60">
        <v>111346.31</v>
      </c>
      <c r="F60">
        <v>26690.03</v>
      </c>
      <c r="G60">
        <v>84656.28</v>
      </c>
      <c r="H60">
        <v>1.24</v>
      </c>
      <c r="I60">
        <v>1587</v>
      </c>
      <c r="J60">
        <v>53.34</v>
      </c>
    </row>
    <row r="61" spans="1:10" x14ac:dyDescent="0.3">
      <c r="A61" s="1" t="str">
        <f t="shared" si="0"/>
        <v>3</v>
      </c>
      <c r="B61">
        <v>3</v>
      </c>
      <c r="C61" s="2" t="s">
        <v>19</v>
      </c>
      <c r="D61" t="s">
        <v>21</v>
      </c>
      <c r="E61">
        <v>103.76</v>
      </c>
      <c r="F61">
        <v>0</v>
      </c>
      <c r="G61">
        <v>103.76</v>
      </c>
      <c r="H61">
        <v>0</v>
      </c>
      <c r="I61">
        <v>1</v>
      </c>
      <c r="J61">
        <v>103.76</v>
      </c>
    </row>
    <row r="62" spans="1:10" x14ac:dyDescent="0.3">
      <c r="A62" s="1" t="str">
        <f t="shared" si="0"/>
        <v>3</v>
      </c>
      <c r="B62">
        <v>3</v>
      </c>
      <c r="C62" s="2" t="s">
        <v>19</v>
      </c>
      <c r="D62" t="s">
        <v>16</v>
      </c>
      <c r="E62">
        <v>5938.26</v>
      </c>
      <c r="F62">
        <v>0</v>
      </c>
      <c r="G62">
        <v>5938.26</v>
      </c>
      <c r="H62">
        <v>0.09</v>
      </c>
      <c r="I62">
        <v>48</v>
      </c>
      <c r="J62">
        <v>123.71</v>
      </c>
    </row>
    <row r="63" spans="1:10" x14ac:dyDescent="0.3">
      <c r="A63" s="1" t="str">
        <f t="shared" si="0"/>
        <v>3</v>
      </c>
      <c r="B63">
        <v>3</v>
      </c>
      <c r="C63" s="2" t="s">
        <v>19</v>
      </c>
      <c r="D63" t="s">
        <v>17</v>
      </c>
      <c r="E63">
        <v>2093.71</v>
      </c>
      <c r="F63">
        <v>0</v>
      </c>
      <c r="G63">
        <v>2093.71</v>
      </c>
      <c r="H63">
        <v>0.03</v>
      </c>
      <c r="I63">
        <v>35</v>
      </c>
      <c r="J63">
        <v>59.82</v>
      </c>
    </row>
    <row r="64" spans="1:10" x14ac:dyDescent="0.3">
      <c r="A64" s="1" t="str">
        <f t="shared" si="0"/>
        <v>4</v>
      </c>
      <c r="B64">
        <v>3</v>
      </c>
      <c r="C64" s="2" t="s">
        <v>20</v>
      </c>
      <c r="D64" t="s">
        <v>11</v>
      </c>
      <c r="E64">
        <v>721565.24</v>
      </c>
      <c r="F64">
        <v>0</v>
      </c>
      <c r="G64">
        <v>721565.24</v>
      </c>
      <c r="H64">
        <v>10.58</v>
      </c>
      <c r="I64">
        <v>8268</v>
      </c>
      <c r="J64">
        <v>87.27</v>
      </c>
    </row>
    <row r="65" spans="1:10" x14ac:dyDescent="0.3">
      <c r="A65" s="1" t="str">
        <f t="shared" si="0"/>
        <v>4</v>
      </c>
      <c r="B65">
        <v>3</v>
      </c>
      <c r="C65" s="2" t="s">
        <v>20</v>
      </c>
      <c r="D65" t="s">
        <v>13</v>
      </c>
      <c r="E65">
        <v>4653.5600000000004</v>
      </c>
      <c r="F65">
        <v>0</v>
      </c>
      <c r="G65">
        <v>4653.5600000000004</v>
      </c>
      <c r="H65">
        <v>7.0000000000000007E-2</v>
      </c>
      <c r="I65">
        <v>628</v>
      </c>
      <c r="J65">
        <v>7.41</v>
      </c>
    </row>
    <row r="66" spans="1:10" x14ac:dyDescent="0.3">
      <c r="A66" s="1" t="str">
        <f t="shared" si="0"/>
        <v>4</v>
      </c>
      <c r="B66">
        <v>3</v>
      </c>
      <c r="C66" s="2" t="s">
        <v>20</v>
      </c>
      <c r="D66" t="s">
        <v>14</v>
      </c>
      <c r="E66">
        <v>37394.75</v>
      </c>
      <c r="F66">
        <v>0</v>
      </c>
      <c r="G66">
        <v>37394.75</v>
      </c>
      <c r="H66">
        <v>0.55000000000000004</v>
      </c>
      <c r="I66">
        <v>273</v>
      </c>
      <c r="J66">
        <v>136.97999999999999</v>
      </c>
    </row>
    <row r="67" spans="1:10" x14ac:dyDescent="0.3">
      <c r="A67" s="1" t="str">
        <f t="shared" ref="A67:A89" si="1">RIGHT(C67,1)</f>
        <v>4</v>
      </c>
      <c r="B67">
        <v>3</v>
      </c>
      <c r="C67" s="2" t="s">
        <v>20</v>
      </c>
      <c r="D67" t="s">
        <v>15</v>
      </c>
      <c r="E67">
        <v>99140.43</v>
      </c>
      <c r="F67">
        <v>24006.61</v>
      </c>
      <c r="G67">
        <v>75133.820000000007</v>
      </c>
      <c r="H67">
        <v>1.1000000000000001</v>
      </c>
      <c r="I67">
        <v>1449</v>
      </c>
      <c r="J67">
        <v>51.85</v>
      </c>
    </row>
    <row r="68" spans="1:10" x14ac:dyDescent="0.3">
      <c r="A68" s="1" t="str">
        <f t="shared" si="1"/>
        <v>4</v>
      </c>
      <c r="B68">
        <v>3</v>
      </c>
      <c r="C68" s="2" t="s">
        <v>20</v>
      </c>
      <c r="D68" t="s">
        <v>21</v>
      </c>
      <c r="E68">
        <v>291.57</v>
      </c>
      <c r="F68">
        <v>0</v>
      </c>
      <c r="G68">
        <v>291.57</v>
      </c>
      <c r="H68">
        <v>0</v>
      </c>
      <c r="I68">
        <v>3</v>
      </c>
      <c r="J68">
        <v>97.19</v>
      </c>
    </row>
    <row r="69" spans="1:10" x14ac:dyDescent="0.3">
      <c r="A69" s="1" t="str">
        <f t="shared" si="1"/>
        <v>4</v>
      </c>
      <c r="B69">
        <v>3</v>
      </c>
      <c r="C69" s="2" t="s">
        <v>20</v>
      </c>
      <c r="D69" t="s">
        <v>24</v>
      </c>
      <c r="E69">
        <v>7.35</v>
      </c>
      <c r="F69">
        <v>0</v>
      </c>
      <c r="G69">
        <v>7.35</v>
      </c>
      <c r="H69">
        <v>0</v>
      </c>
      <c r="I69">
        <v>1</v>
      </c>
      <c r="J69">
        <v>7.35</v>
      </c>
    </row>
    <row r="70" spans="1:10" x14ac:dyDescent="0.3">
      <c r="A70" s="1" t="str">
        <f t="shared" si="1"/>
        <v>4</v>
      </c>
      <c r="B70">
        <v>3</v>
      </c>
      <c r="C70" s="2" t="s">
        <v>20</v>
      </c>
      <c r="D70" t="s">
        <v>25</v>
      </c>
      <c r="E70">
        <v>187.43</v>
      </c>
      <c r="F70">
        <v>0</v>
      </c>
      <c r="G70">
        <v>187.43</v>
      </c>
      <c r="H70">
        <v>0</v>
      </c>
      <c r="I70">
        <v>1</v>
      </c>
      <c r="J70">
        <v>187.43</v>
      </c>
    </row>
    <row r="71" spans="1:10" x14ac:dyDescent="0.3">
      <c r="A71" s="1" t="str">
        <f t="shared" si="1"/>
        <v>4</v>
      </c>
      <c r="B71">
        <v>3</v>
      </c>
      <c r="C71" s="2" t="s">
        <v>20</v>
      </c>
      <c r="D71" t="s">
        <v>16</v>
      </c>
      <c r="E71">
        <v>3366.55</v>
      </c>
      <c r="F71">
        <v>0</v>
      </c>
      <c r="G71">
        <v>3366.55</v>
      </c>
      <c r="H71">
        <v>0.05</v>
      </c>
      <c r="I71">
        <v>33</v>
      </c>
      <c r="J71">
        <v>102.02</v>
      </c>
    </row>
    <row r="72" spans="1:10" x14ac:dyDescent="0.3">
      <c r="A72" s="1" t="str">
        <f t="shared" si="1"/>
        <v>4</v>
      </c>
      <c r="B72">
        <v>3</v>
      </c>
      <c r="C72" s="2" t="s">
        <v>20</v>
      </c>
      <c r="D72" t="s">
        <v>17</v>
      </c>
      <c r="E72">
        <v>2148.54</v>
      </c>
      <c r="F72">
        <v>0</v>
      </c>
      <c r="G72">
        <v>2148.54</v>
      </c>
      <c r="H72">
        <v>0.03</v>
      </c>
      <c r="I72">
        <v>40</v>
      </c>
      <c r="J72">
        <v>53.71</v>
      </c>
    </row>
    <row r="73" spans="1:10" x14ac:dyDescent="0.3">
      <c r="A73" s="1" t="str">
        <f t="shared" si="1"/>
        <v>5</v>
      </c>
      <c r="B73">
        <v>3</v>
      </c>
      <c r="C73" s="2" t="s">
        <v>22</v>
      </c>
      <c r="D73" t="s">
        <v>11</v>
      </c>
      <c r="E73">
        <v>756137.28</v>
      </c>
      <c r="F73">
        <v>0</v>
      </c>
      <c r="G73">
        <v>756137.28</v>
      </c>
      <c r="H73">
        <v>11.09</v>
      </c>
      <c r="I73">
        <v>8685</v>
      </c>
      <c r="J73">
        <v>87.06</v>
      </c>
    </row>
    <row r="74" spans="1:10" x14ac:dyDescent="0.3">
      <c r="A74" s="1" t="str">
        <f t="shared" si="1"/>
        <v>5</v>
      </c>
      <c r="B74">
        <v>3</v>
      </c>
      <c r="C74" s="2" t="s">
        <v>22</v>
      </c>
      <c r="D74" t="s">
        <v>12</v>
      </c>
      <c r="E74">
        <v>2750</v>
      </c>
      <c r="F74">
        <v>0</v>
      </c>
      <c r="G74">
        <v>2750</v>
      </c>
      <c r="H74">
        <v>0.04</v>
      </c>
      <c r="I74">
        <v>4</v>
      </c>
      <c r="J74">
        <v>687.5</v>
      </c>
    </row>
    <row r="75" spans="1:10" x14ac:dyDescent="0.3">
      <c r="A75" s="1" t="str">
        <f t="shared" si="1"/>
        <v>5</v>
      </c>
      <c r="B75">
        <v>3</v>
      </c>
      <c r="C75" s="2" t="s">
        <v>22</v>
      </c>
      <c r="D75" t="s">
        <v>13</v>
      </c>
      <c r="E75">
        <v>4428.8100000000004</v>
      </c>
      <c r="F75">
        <v>0</v>
      </c>
      <c r="G75">
        <v>4428.8100000000004</v>
      </c>
      <c r="H75">
        <v>0.06</v>
      </c>
      <c r="I75">
        <v>600</v>
      </c>
      <c r="J75">
        <v>7.38</v>
      </c>
    </row>
    <row r="76" spans="1:10" x14ac:dyDescent="0.3">
      <c r="A76" s="1" t="str">
        <f t="shared" si="1"/>
        <v>5</v>
      </c>
      <c r="B76">
        <v>3</v>
      </c>
      <c r="C76" s="2" t="s">
        <v>22</v>
      </c>
      <c r="D76" t="s">
        <v>14</v>
      </c>
      <c r="E76">
        <v>42258.52</v>
      </c>
      <c r="F76">
        <v>0</v>
      </c>
      <c r="G76">
        <v>42258.52</v>
      </c>
      <c r="H76">
        <v>0.62</v>
      </c>
      <c r="I76">
        <v>289</v>
      </c>
      <c r="J76">
        <v>146.22</v>
      </c>
    </row>
    <row r="77" spans="1:10" x14ac:dyDescent="0.3">
      <c r="A77" s="1" t="str">
        <f t="shared" si="1"/>
        <v>5</v>
      </c>
      <c r="B77">
        <v>3</v>
      </c>
      <c r="C77" s="2" t="s">
        <v>22</v>
      </c>
      <c r="D77" t="s">
        <v>15</v>
      </c>
      <c r="E77">
        <v>109524.57</v>
      </c>
      <c r="F77">
        <v>26703.17</v>
      </c>
      <c r="G77">
        <v>82821.399999999994</v>
      </c>
      <c r="H77">
        <v>1.21</v>
      </c>
      <c r="I77">
        <v>1566</v>
      </c>
      <c r="J77">
        <v>52.89</v>
      </c>
    </row>
    <row r="78" spans="1:10" x14ac:dyDescent="0.3">
      <c r="A78" s="1" t="str">
        <f t="shared" si="1"/>
        <v>5</v>
      </c>
      <c r="B78">
        <v>3</v>
      </c>
      <c r="C78" s="2" t="s">
        <v>22</v>
      </c>
      <c r="D78" t="s">
        <v>21</v>
      </c>
      <c r="E78">
        <v>191.98</v>
      </c>
      <c r="F78">
        <v>0</v>
      </c>
      <c r="G78">
        <v>191.98</v>
      </c>
      <c r="H78">
        <v>0</v>
      </c>
      <c r="I78">
        <v>6</v>
      </c>
      <c r="J78">
        <v>32</v>
      </c>
    </row>
    <row r="79" spans="1:10" x14ac:dyDescent="0.3">
      <c r="A79" s="1" t="str">
        <f t="shared" si="1"/>
        <v>5</v>
      </c>
      <c r="B79">
        <v>3</v>
      </c>
      <c r="C79" s="2" t="s">
        <v>22</v>
      </c>
      <c r="D79" t="s">
        <v>24</v>
      </c>
      <c r="E79">
        <v>216.57</v>
      </c>
      <c r="F79">
        <v>0</v>
      </c>
      <c r="G79">
        <v>216.57</v>
      </c>
      <c r="H79">
        <v>0</v>
      </c>
      <c r="I79">
        <v>4</v>
      </c>
      <c r="J79">
        <v>54.14</v>
      </c>
    </row>
    <row r="80" spans="1:10" x14ac:dyDescent="0.3">
      <c r="A80" s="1" t="str">
        <f t="shared" si="1"/>
        <v>5</v>
      </c>
      <c r="B80">
        <v>3</v>
      </c>
      <c r="C80" s="2" t="s">
        <v>22</v>
      </c>
      <c r="D80" t="s">
        <v>16</v>
      </c>
      <c r="E80">
        <v>4202.47</v>
      </c>
      <c r="F80">
        <v>0</v>
      </c>
      <c r="G80">
        <v>4202.47</v>
      </c>
      <c r="H80">
        <v>0.06</v>
      </c>
      <c r="I80">
        <v>38</v>
      </c>
      <c r="J80">
        <v>110.59</v>
      </c>
    </row>
    <row r="81" spans="1:10" x14ac:dyDescent="0.3">
      <c r="A81" s="1" t="str">
        <f t="shared" si="1"/>
        <v>5</v>
      </c>
      <c r="B81">
        <v>3</v>
      </c>
      <c r="C81" s="2" t="s">
        <v>22</v>
      </c>
      <c r="D81" t="s">
        <v>17</v>
      </c>
      <c r="E81">
        <v>2016.64</v>
      </c>
      <c r="F81">
        <v>0</v>
      </c>
      <c r="G81">
        <v>2016.64</v>
      </c>
      <c r="H81">
        <v>0.03</v>
      </c>
      <c r="I81">
        <v>32</v>
      </c>
      <c r="J81">
        <v>63.02</v>
      </c>
    </row>
    <row r="82" spans="1:10" x14ac:dyDescent="0.3">
      <c r="A82" s="1" t="str">
        <f t="shared" si="1"/>
        <v>6</v>
      </c>
      <c r="B82">
        <v>3</v>
      </c>
      <c r="C82" s="2" t="s">
        <v>23</v>
      </c>
      <c r="D82" t="s">
        <v>11</v>
      </c>
      <c r="E82">
        <v>429003.52000000002</v>
      </c>
      <c r="F82">
        <v>0</v>
      </c>
      <c r="G82">
        <v>429003.52000000002</v>
      </c>
      <c r="H82">
        <v>6.29</v>
      </c>
      <c r="I82">
        <v>4764</v>
      </c>
      <c r="J82">
        <v>90.05</v>
      </c>
    </row>
    <row r="83" spans="1:10" x14ac:dyDescent="0.3">
      <c r="A83" s="1" t="str">
        <f t="shared" si="1"/>
        <v>6</v>
      </c>
      <c r="B83">
        <v>3</v>
      </c>
      <c r="C83" s="2" t="s">
        <v>23</v>
      </c>
      <c r="D83" t="s">
        <v>13</v>
      </c>
      <c r="E83">
        <v>2338.33</v>
      </c>
      <c r="F83">
        <v>0</v>
      </c>
      <c r="G83">
        <v>2338.33</v>
      </c>
      <c r="H83">
        <v>0.03</v>
      </c>
      <c r="I83">
        <v>311</v>
      </c>
      <c r="J83">
        <v>7.52</v>
      </c>
    </row>
    <row r="84" spans="1:10" x14ac:dyDescent="0.3">
      <c r="A84" s="1" t="str">
        <f t="shared" si="1"/>
        <v>6</v>
      </c>
      <c r="B84">
        <v>3</v>
      </c>
      <c r="C84" s="2" t="s">
        <v>23</v>
      </c>
      <c r="D84" t="s">
        <v>14</v>
      </c>
      <c r="E84">
        <v>21881.53</v>
      </c>
      <c r="F84">
        <v>0</v>
      </c>
      <c r="G84">
        <v>21881.53</v>
      </c>
      <c r="H84">
        <v>0.32</v>
      </c>
      <c r="I84">
        <v>139</v>
      </c>
      <c r="J84">
        <v>157.41999999999999</v>
      </c>
    </row>
    <row r="85" spans="1:10" x14ac:dyDescent="0.3">
      <c r="A85" s="1" t="str">
        <f t="shared" si="1"/>
        <v>6</v>
      </c>
      <c r="B85">
        <v>3</v>
      </c>
      <c r="C85" s="2" t="s">
        <v>23</v>
      </c>
      <c r="D85" t="s">
        <v>15</v>
      </c>
      <c r="E85">
        <v>61644.86</v>
      </c>
      <c r="F85">
        <v>14482.19</v>
      </c>
      <c r="G85">
        <v>47162.67</v>
      </c>
      <c r="H85">
        <v>0.69</v>
      </c>
      <c r="I85">
        <v>838</v>
      </c>
      <c r="J85">
        <v>56.28</v>
      </c>
    </row>
    <row r="86" spans="1:10" x14ac:dyDescent="0.3">
      <c r="A86" s="1" t="str">
        <f t="shared" si="1"/>
        <v>6</v>
      </c>
      <c r="B86">
        <v>3</v>
      </c>
      <c r="C86" s="2" t="s">
        <v>23</v>
      </c>
      <c r="D86" t="s">
        <v>21</v>
      </c>
      <c r="E86">
        <v>848.89</v>
      </c>
      <c r="F86">
        <v>0</v>
      </c>
      <c r="G86">
        <v>848.89</v>
      </c>
      <c r="H86">
        <v>0.01</v>
      </c>
      <c r="I86">
        <v>13</v>
      </c>
      <c r="J86">
        <v>65.3</v>
      </c>
    </row>
    <row r="87" spans="1:10" x14ac:dyDescent="0.3">
      <c r="A87" s="1" t="str">
        <f t="shared" si="1"/>
        <v>6</v>
      </c>
      <c r="B87">
        <v>3</v>
      </c>
      <c r="C87" s="2" t="s">
        <v>23</v>
      </c>
      <c r="D87" t="s">
        <v>24</v>
      </c>
      <c r="E87">
        <v>40.229999999999997</v>
      </c>
      <c r="F87">
        <v>0</v>
      </c>
      <c r="G87">
        <v>40.229999999999997</v>
      </c>
      <c r="H87">
        <v>0</v>
      </c>
      <c r="I87">
        <v>1</v>
      </c>
      <c r="J87">
        <v>40.229999999999997</v>
      </c>
    </row>
    <row r="88" spans="1:10" x14ac:dyDescent="0.3">
      <c r="A88" s="1" t="str">
        <f t="shared" si="1"/>
        <v>6</v>
      </c>
      <c r="B88">
        <v>3</v>
      </c>
      <c r="C88" s="2" t="s">
        <v>23</v>
      </c>
      <c r="D88" t="s">
        <v>16</v>
      </c>
      <c r="E88">
        <v>2486.4</v>
      </c>
      <c r="F88">
        <v>0</v>
      </c>
      <c r="G88">
        <v>2486.4</v>
      </c>
      <c r="H88">
        <v>0.04</v>
      </c>
      <c r="I88">
        <v>22</v>
      </c>
      <c r="J88">
        <v>113.02</v>
      </c>
    </row>
    <row r="89" spans="1:10" x14ac:dyDescent="0.3">
      <c r="A89" s="1" t="str">
        <f t="shared" si="1"/>
        <v>6</v>
      </c>
      <c r="B89">
        <v>3</v>
      </c>
      <c r="C89" s="2" t="s">
        <v>23</v>
      </c>
      <c r="D89" t="s">
        <v>17</v>
      </c>
      <c r="E89">
        <v>4616.74</v>
      </c>
      <c r="F89">
        <v>0</v>
      </c>
      <c r="G89">
        <v>4616.74</v>
      </c>
      <c r="H89">
        <v>7.0000000000000007E-2</v>
      </c>
      <c r="I89">
        <v>27</v>
      </c>
      <c r="J89">
        <v>170.99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 POR 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Marques</dc:creator>
  <cp:lastModifiedBy>Paulo Marques</cp:lastModifiedBy>
  <dcterms:created xsi:type="dcterms:W3CDTF">2026-06-17T04:23:59Z</dcterms:created>
  <dcterms:modified xsi:type="dcterms:W3CDTF">2026-06-17T04:25:06Z</dcterms:modified>
</cp:coreProperties>
</file>